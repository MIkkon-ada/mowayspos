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3e40806d2e40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d4cfdc915a924f96"/>
    <x:sheet xmlns:r="http://schemas.openxmlformats.org/officeDocument/2006/relationships" name="验收清单" sheetId="2" r:id="Rf7b2021df5a541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6c5c5dcd404d4c" /><Relationship Type="http://schemas.openxmlformats.org/officeDocument/2006/relationships/theme" Target="/xl/theme/theme1.xml" Id="R866b2bcbf8be4099" /><Relationship Type="http://schemas.openxmlformats.org/officeDocument/2006/relationships/sharedStrings" Target="/xl/sharedStrings.xml" Id="R7266bcdbcb834480" /><Relationship Type="http://schemas.openxmlformats.org/officeDocument/2006/relationships/worksheet" Target="/xl/worksheets/sheet1.xml" Id="Rd4cfdc915a924f96" /><Relationship Type="http://schemas.openxmlformats.org/officeDocument/2006/relationships/worksheet" Target="/xl/worksheets/sheet2.xml" Id="Rf7b2021df5a541c2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7ffab7d0074a5e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1</x:v>
      </x:c>
      <x:c r="E19" s="52" t="n">
        <x:f>COUNTIFS('验收清单'!$B$7:$B$66,$A19,'验收清单'!$E$7:$E$66,"未验收")</x:f>
        <x:v>11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4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0.08333333333333333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1</x:v>
      </x:c>
      <x:c r="E20" s="52" t="n">
        <x:f>COUNTIFS('验收清单'!$B$7:$B$66,$A20,'验收清单'!$E$7:$E$66,"未验收")</x:f>
        <x:v>7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0.125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</x:v>
      </x:c>
      <x:c r="E25" s="54" t="n">
        <x:f>SUMIFS(E17:E24,$B$17:$B$24,"纳入")</x:f>
        <x:v>58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39</x:v>
      </x:c>
      <x:c r="K25" s="54" t="n">
        <x:f>SUMIFS(K17:K24,$B$17:$B$24,"纳入")</x:f>
        <x:v>0</x:v>
      </x:c>
      <x:c r="L25" s="55" t="n">
        <x:f>IF(C25=0,0,D25/C25)</x:f>
        <x:v>0.03333333333333333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94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inlineStr">
        <x:is>
          <x:t xml:space="preserve">未验收</x:t>
        </x:is>
      </x:c>
      <x:c r="F31" s="42" t="n"/>
      <x:c r="G31" s="42" t="n"/>
      <x:c r="H31" s="56" t="n"/>
      <x:c r="I31" s="42" t="n"/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未通过</x:v>
      </x:c>
    </x:row>
    <x:row r="32" ht="94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inlineStr">
        <x:is>
          <x:t xml:space="preserve">未验收</x:t>
        </x:is>
      </x:c>
      <x:c r="F32" s="42" t="n"/>
      <x:c r="G32" s="42" t="n"/>
      <x:c r="H32" s="56" t="n"/>
      <x:c r="I32" s="42" t="n"/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inlineStr">
        <x:is>
          <x:t xml:space="preserve">未验收</x:t>
        </x:is>
      </x:c>
      <x:c r="F33" s="42" t="n"/>
      <x:c r="G33" s="42" t="n"/>
      <x:c r="H33" s="56" t="n"/>
      <x:c r="I33" s="42" t="n"/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inlineStr">
        <x:is>
          <x:t xml:space="preserve">未验收</x:t>
        </x:is>
      </x:c>
      <x:c r="F34" s="42" t="n"/>
      <x:c r="G34" s="42" t="n"/>
      <x:c r="H34" s="56" t="n"/>
      <x:c r="I34" s="42" t="n"/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inlineStr">
        <x:is>
          <x:t xml:space="preserve">未验收</x:t>
        </x:is>
      </x:c>
      <x:c r="F43" s="42" t="str">
        <x:v>本地隔离 SQLite、合成项目“验收隔离项目-D05”复核。新建待确认汇报后由负责人在 V2 确认中心执行单卡确认；工作推进表显示“D07最终链路复核完成”，任务详情“最新提交”显示同一提交内容。整页刷新后两处仍显示同一条记录；数据库确认 update_submission.related_subtask_id=1、subtask.source_submission_id=5。首次复测暴露生产会话 autoflush=False 导致卡片写入后查询未刷新，已在查询前显式 db.flush()；新增对应回归测试。单卡唯一关联成功，多卡不同关键任务保持 NULL。确认写回及卡片流程测试共 150 项通过。证据仅覆盖本地隔离库、合成账号和单卡新提交，不连接项目主库或生产。加载失败提示和旧结果不冒充刷新结果尚未验证，D07 保持未验收。</x:v>
      </x:c>
      <x:c r="G43" s="42" t="str">
        <x:v>Codex（隔离验收）</x:v>
      </x:c>
      <x:c r="H43" s="56" t="str">
        <x:v>2026-10-18</x:v>
      </x:c>
      <x:c r="I43" s="42" t="str">
        <x:v>继续覆盖详情加载失败、刷新失败，以及旧结果不得冒充最新已确认提交；完成后再由业务验收人复核并决定是否签收。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未通过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7ffab7d0074a5e"/>
  </x:tableParts>
</x:worksheet>
</file>