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c86cb1a35949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ab0e3e800edf4553"/>
    <x:sheet xmlns:r="http://schemas.openxmlformats.org/officeDocument/2006/relationships" name="验收清单" sheetId="2" r:id="Re46c6515bb3240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a09ff41abc4af7" /><Relationship Type="http://schemas.openxmlformats.org/officeDocument/2006/relationships/theme" Target="/xl/theme/theme1.xml" Id="R7c21b819fe1e49ca" /><Relationship Type="http://schemas.openxmlformats.org/officeDocument/2006/relationships/sharedStrings" Target="/xl/sharedStrings.xml" Id="Rdfcd8676b6be4a44" /><Relationship Type="http://schemas.openxmlformats.org/officeDocument/2006/relationships/worksheet" Target="/xl/worksheets/sheet1.xml" Id="Rab0e3e800edf4553" /><Relationship Type="http://schemas.openxmlformats.org/officeDocument/2006/relationships/worksheet" Target="/xl/worksheets/sheet2.xml" Id="Re46c6515bb324020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ada97d7e6db4812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3</x:v>
      </x:c>
      <x:c r="E20" s="52" t="n">
        <x:f>COUNTIFS('验收清单'!$B$7:$B$66,$A20,'验收清单'!$E$7:$E$66,"未验收")</x:f>
        <x:v>5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5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0.375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11</x:v>
      </x:c>
      <x:c r="E25" s="54" t="n">
        <x:f>SUMIFS(E17:E24,$B$17:$B$24,"纳入")</x:f>
        <x:v>49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32</x:v>
      </x:c>
      <x:c r="K25" s="54" t="n">
        <x:f>SUMIFS(K17:K24,$B$17:$B$24,"纳入")</x:f>
        <x:v>0</x:v>
      </x:c>
      <x:c r="L25" s="55" t="n">
        <x:f>IF(C25=0,0,D25/C25)</x:f>
        <x:v>0.18333333333333332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da97d7e6db4812"/>
  </x:tableParts>
</x:worksheet>
</file>