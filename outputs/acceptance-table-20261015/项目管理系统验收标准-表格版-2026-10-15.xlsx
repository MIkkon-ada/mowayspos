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09ba8232a040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466ae2d72ecc47bc"/>
    <x:sheet xmlns:r="http://schemas.openxmlformats.org/officeDocument/2006/relationships" name="验收清单" sheetId="2" r:id="Rc9ad28422ba24f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76d008e77e47c1" /><Relationship Type="http://schemas.openxmlformats.org/officeDocument/2006/relationships/theme" Target="/xl/theme/theme1.xml" Id="R7a45421faa2f422b" /><Relationship Type="http://schemas.openxmlformats.org/officeDocument/2006/relationships/sharedStrings" Target="/xl/sharedStrings.xml" Id="Rcd3be48408754dae" /><Relationship Type="http://schemas.openxmlformats.org/officeDocument/2006/relationships/worksheet" Target="/xl/worksheets/sheet1.xml" Id="R466ae2d72ecc47bc" /><Relationship Type="http://schemas.openxmlformats.org/officeDocument/2006/relationships/worksheet" Target="/xl/worksheets/sheet2.xml" Id="Rc9ad28422ba24f8d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451f175bca4b84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3</x:v>
      </x:c>
      <x:c r="E18" s="52" t="n">
        <x:f>COUNTIFS('验收清单'!$B$7:$B$66,$A18,'验收清单'!$E$7:$E$66,"未验收")</x:f>
        <x:v>9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6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0.25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20</x:v>
      </x:c>
      <x:c r="E25" s="54" t="n">
        <x:f>SUMIFS(E17:E24,$B$17:$B$24,"纳入")</x:f>
        <x:v>40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23</x:v>
      </x:c>
      <x:c r="K25" s="54" t="n">
        <x:f>SUMIFS(K17:K24,$B$17:$B$24,"纳入")</x:f>
        <x:v>0</x:v>
      </x:c>
      <x:c r="L25" s="55" t="n">
        <x:f>IF(C25=0,0,D25/C25)</x:f>
        <x:v>0.3333333333333333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451f175bca4b84"/>
  </x:tableParts>
</x:worksheet>
</file>