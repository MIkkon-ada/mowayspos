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cb2967bfa44d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e23520f859a44876"/>
    <x:sheet xmlns:r="http://schemas.openxmlformats.org/officeDocument/2006/relationships" name="验收清单" sheetId="2" r:id="Rf54739212cf542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2c8dbf8b4d45e8" /><Relationship Type="http://schemas.openxmlformats.org/officeDocument/2006/relationships/theme" Target="/xl/theme/theme1.xml" Id="R34602a5432664c27" /><Relationship Type="http://schemas.openxmlformats.org/officeDocument/2006/relationships/sharedStrings" Target="/xl/sharedStrings.xml" Id="R0dac72bf3a0842a5" /><Relationship Type="http://schemas.openxmlformats.org/officeDocument/2006/relationships/worksheet" Target="/xl/worksheets/sheet1.xml" Id="Re23520f859a44876" /><Relationship Type="http://schemas.openxmlformats.org/officeDocument/2006/relationships/worksheet" Target="/xl/worksheets/sheet2.xml" Id="Rf54739212cf542f7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8147bc93b34aed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1</x:v>
      </x:c>
      <x:c r="E18" s="52" t="n">
        <x:f>COUNTIFS('验收清单'!$B$7:$B$66,$A18,'验收清单'!$E$7:$E$66,"未验收")</x:f>
        <x:v>11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8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0.08333333333333333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3</x:v>
      </x:c>
      <x:c r="E20" s="52" t="n">
        <x:f>COUNTIFS('验收清单'!$B$7:$B$66,$A20,'验收清单'!$E$7:$E$66,"未验收")</x:f>
        <x:v>5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5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0.375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13</x:v>
      </x:c>
      <x:c r="E25" s="54" t="n">
        <x:f>SUMIFS(E17:E24,$B$17:$B$24,"纳入")</x:f>
        <x:v>47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30</x:v>
      </x:c>
      <x:c r="K25" s="54" t="n">
        <x:f>SUMIFS(K17:K24,$B$17:$B$24,"纳入")</x:f>
        <x:v>0</x:v>
      </x:c>
      <x:c r="L25" s="55" t="n">
        <x:f>IF(C25=0,0,D25/C25)</x:f>
        <x:v>0.21666666666666667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8147bc93b34aed"/>
  </x:tableParts>
</x:worksheet>
</file>