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cde2c5a58e47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f188142476594b1b"/>
    <x:sheet xmlns:r="http://schemas.openxmlformats.org/officeDocument/2006/relationships" name="验收清单" sheetId="2" r:id="R4bd157f1a57147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7260378b75489e" /><Relationship Type="http://schemas.openxmlformats.org/officeDocument/2006/relationships/theme" Target="/xl/theme/theme1.xml" Id="R8740345a98df4da6" /><Relationship Type="http://schemas.openxmlformats.org/officeDocument/2006/relationships/sharedStrings" Target="/xl/sharedStrings.xml" Id="R6828c88de266486e" /><Relationship Type="http://schemas.openxmlformats.org/officeDocument/2006/relationships/worksheet" Target="/xl/worksheets/sheet1.xml" Id="Rf188142476594b1b" /><Relationship Type="http://schemas.openxmlformats.org/officeDocument/2006/relationships/worksheet" Target="/xl/worksheets/sheet2.xml" Id="R4bd157f1a571478d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28cb7cc64a49ee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4</x:v>
      </x:c>
      <x:c r="E18" s="52" t="n">
        <x:f>COUNTIFS('验收清单'!$B$7:$B$66,$A18,'验收清单'!$E$7:$E$66,"未验收")</x:f>
        <x:v>8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5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0.3333333333333333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8</x:v>
      </x:c>
      <x:c r="E20" s="52" t="n">
        <x:f>COUNTIFS('验收清单'!$B$7:$B$66,$A20,'验收清单'!$E$7:$E$66,"未验收")</x:f>
        <x:v>0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0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1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21</x:v>
      </x:c>
      <x:c r="E25" s="54" t="n">
        <x:f>SUMIFS(E17:E24,$B$17:$B$24,"纳入")</x:f>
        <x:v>39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22</x:v>
      </x:c>
      <x:c r="K25" s="54" t="n">
        <x:f>SUMIFS(K17:K24,$B$17:$B$24,"纳入")</x:f>
        <x:v>0</x:v>
      </x:c>
      <x:c r="L25" s="55" t="n">
        <x:f>IF(C25=0,0,D25/C25)</x:f>
        <x:v>0.35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210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str">
        <x:v>通过</x:v>
      </x:c>
      <x:c r="F18" s="42" t="str">
        <x:v>隔离 SQLite 副本 project 8（C01 Owner，项目已派发）填写不完整方案：保留重点工作目标长文本，修改关键任务名称、负责人为 C01 Helper（人员 ID 22）、日期为 2026-10-20 至 2026-10-27，并将评价指标留空。首次自动保存被临时测试环境来源校验拒绝，页面明确提示未保存并可重试，字段仍保留；将 6006 加入隔离后端允许来源后，手动重试 PUT 返回 200。再次修改长文本后自动保存 PUT 返回 200。刷新并离开项目详情后重新进入，长文本、任务名、负责人、日期均恢复，空指标仍为空；数据库项目状态保持 dispatched，未提交审核。</x:v>
      </x:c>
      <x:c r="G18" s="42" t="str">
        <x:v>Codex 本地隔离验收：V2 前端 6006、后端 8012、独立 SQLite 副本；负责人 UI 操作、后端请求日志及数据库只读核对。</x:v>
      </x:c>
      <x:c r="H18" s="56" t="str">
        <x:v>2026-10-19</x:v>
      </x:c>
      <x:c r="I18" s="42" t="str">
        <x:v>只验证本地隔离副本的草稿自动/手动保存、错误提示、刷新及离开重进；未在生产 PostgreSQL 或线上环境验证。</x:v>
      </x:c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计入通过</x:v>
      </x:c>
    </x:row>
    <x:row r="19" ht="285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str">
        <x:v>通过</x:v>
      </x:c>
      <x:c r="F19" s="42" t="str">
        <x:v>隔离 SQLite 副本 project 8（C01 Owner，已派发）在负责人页面提交方案，POST /owner-submit 返回 200，项目详情显示“待审核”；正式方案写入 2 项重点工作、3 项关键任务，提交草稿清空。待审时负责人入口不再呈现编辑表单。随后用同一 PM 身份发起重复提交，返回 409 / PROJECT_STATE_CONFLICT；尝试修改待审草稿返回 409 / PROJECT_STATE_CONFLICT；负责人尝试直接审核通过返回 403 / PROJECT_ACTION_DENIED。上述拒绝请求后，数据库状态仍为 pending_review，提交审核日志未增加，任务数仍为 2/3；提交动作仅新增一条状态日志（ID 226），未重复写入任务。</x:v>
      </x:c>
      <x:c r="G19" s="42" t="str">
        <x:v>Codex 本地隔离验收：V2 前端 6006、后端 8012、独立 SQLite 副本；负责人 UI 提交、服务端 TestClient 带有效隔离会话进行状态/权限探测、SQLite 只读对照。</x:v>
      </x:c>
      <x:c r="H19" s="56" t="str">
        <x:v>2026-10-19</x:v>
      </x:c>
      <x:c r="I19" s="42" t="str">
        <x:v>仅验证本地隔离 SQLite 的方案提交、待审只读和服务端状态/权限保护；未在生产 PostgreSQL 或线上环境验证。</x:v>
      </x:c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计入通过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270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str">
        <x:v>通过</x:v>
      </x:c>
      <x:c r="F21" s="42" t="str">
        <x:v>从待审核的隔离副本 project 8 由企业教练账号退回，POST /return 返回 200、状态变为 returned；负责人重新打开方案页可见退回意见“请补充关键任务的验收依据，并说明负责人责任边界”，原 2 项重点工作和 3 项关键任务均恢复。负责人只修改任务 51 的评价指标以回应意见，保存草稿 PUT 返回 200，再提交 POST 返回 200、状态回到 pending_review。其余任务、负责人、日期与原内容保持，数据库仍为 2 项重点工作 / 3 项任务；审计记录退回 ID 227、重提 ID 228，无需重新录入整份方案。</x:v>
      </x:c>
      <x:c r="G21" s="42" t="str">
        <x:v>Codex 本地隔离验收：V2 前端 6006、后端 8012、独立 SQLite 副本；教练 API 退回、负责人 UI 查看/修订/重提、请求日志与 SQLite 只读核对。</x:v>
      </x:c>
      <x:c r="H21" s="56" t="str">
        <x:v>2026-10-19</x:v>
      </x:c>
      <x:c r="I21" s="42" t="str">
        <x:v>仅验证本地隔离 SQLite 的退回意见展示、原方案恢复、局部修订及再次提交；未在生产 PostgreSQL 或线上环境验证。</x:v>
      </x:c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计入通过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180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str">
        <x:v>通过</x:v>
      </x:c>
      <x:c r="F38" s="42" t="str">
        <x:v>本地 V2（6006/8012）用合成汇报实际提取两次，接口均返回 200。首次结果可编辑；修改成果字段后清空预览，页面回到输入态。取消前后隔离库计数不变（汇报/问题/成果：5/2/1）。重新输入原文提取，识别完成、下一步、风险和成果，匹配项目 8 / 重点工作 15 / 子任务 53；提交生成汇报 ID 7，原文及结构化结果可追溯，状态待确认。提交后计数为 6/2/1。</x:v>
      </x:c>
      <x:c r="G38" s="42" t="str">
        <x:v>Codex 本地隔离验收：V2 前端 6006、后端 8012、SQLite 临时副本，合成文本；界面操作与 SQLite 只读核对。</x:v>
      </x:c>
      <x:c r="H38" s="56" t="str">
        <x:v>2026-10-19</x:v>
      </x:c>
      <x:c r="I38" s="42" t="str">
        <x:v>仅验证本地隔离 SQLite 的提取、取消、重提和提交待确认；未在生产 PostgreSQL 或线上环境验证，也未确认汇报 ID 7，因此不覆盖负责人确认后的工作推进表写入验收。</x:v>
      </x:c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计入通过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225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str">
        <x:v>通过</x:v>
      </x:c>
      <x:c r="F42" s="42" t="str">
        <x:v>沿用 2026-10-18 隔离环境实测记录：.txt 与超过 20 MB 的 .docx 均被拒绝并保留原输入；有效 .docx 解析 67 字。停用模型候选或停止后端时，页面提示提取失败、保留正文且不显示结构化卡片；保存草稿并刷新后正文恢复。纠正旧记录：此前“恢复后仍 502”是因为启动进程使用了与项目 .env 不匹配的加密密钥，失败发生在真实模型请求前。加载项目 .env 的密钥后，本地 V2 合成汇报实际调用 DeepSeek 两次均返回 HTTP 200，结构化结果成功；AI 预览不写入正式汇报、问题或成果。</x:v>
      </x:c>
      <x:c r="G42" s="42" t="str">
        <x:v>Codex 本地隔离验收：2026-10-18 上传与故障处理记录；2026-10-19 V2 前端 6006 / 后端 8012 / 临时 SQLite，合成文本，后端日志与只读数据库核对。</x:v>
      </x:c>
      <x:c r="H42" s="56" t="str">
        <x:v>2026-10-19</x:v>
      </x:c>
      <x:c r="I42" s="42" t="str">
        <x:v>仅证明本地隔离环境下文件拦截、失败提示/保留、草稿恢复及密钥配置正确后的真实提取成功；未在生产 PostgreSQL 或线上环境验证，也不代表模型服务持续可用。</x:v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计入通过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28cb7cc64a49ee"/>
  </x:tableParts>
</x:worksheet>
</file>