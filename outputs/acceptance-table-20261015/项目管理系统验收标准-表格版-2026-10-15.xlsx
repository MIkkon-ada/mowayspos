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97001b360b40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94b62efa5acd4f28"/>
    <x:sheet xmlns:r="http://schemas.openxmlformats.org/officeDocument/2006/relationships" name="验收清单" sheetId="2" r:id="R083fd8bdfeb846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3124271e584216" /><Relationship Type="http://schemas.openxmlformats.org/officeDocument/2006/relationships/theme" Target="/xl/theme/theme1.xml" Id="R574e7e1a6f234d7e" /><Relationship Type="http://schemas.openxmlformats.org/officeDocument/2006/relationships/sharedStrings" Target="/xl/sharedStrings.xml" Id="Rce59803d1c7d4842" /><Relationship Type="http://schemas.openxmlformats.org/officeDocument/2006/relationships/worksheet" Target="/xl/worksheets/sheet1.xml" Id="R94b62efa5acd4f28" /><Relationship Type="http://schemas.openxmlformats.org/officeDocument/2006/relationships/worksheet" Target="/xl/worksheets/sheet2.xml" Id="R083fd8bdfeb846c5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d36433bc68442f5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1</x:v>
      </x:c>
      <x:c r="E18" s="52" t="n">
        <x:f>COUNTIFS('验收清单'!$B$7:$B$66,$A18,'验收清单'!$E$7:$E$66,"未验收")</x:f>
        <x:v>11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8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0.08333333333333333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5</x:v>
      </x:c>
      <x:c r="E19" s="52" t="n">
        <x:f>COUNTIFS('验收清单'!$B$7:$B$66,$A19,'验收清单'!$E$7:$E$66,"未验收")</x:f>
        <x:v>7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1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0.4166666666666667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3</x:v>
      </x:c>
      <x:c r="E20" s="52" t="n">
        <x:f>COUNTIFS('验收清单'!$B$7:$B$66,$A20,'验收清单'!$E$7:$E$66,"未验收")</x:f>
        <x:v>5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5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0.375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12</x:v>
      </x:c>
      <x:c r="E25" s="54" t="n">
        <x:f>SUMIFS(E17:E24,$B$17:$B$24,"纳入")</x:f>
        <x:v>48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31</x:v>
      </x:c>
      <x:c r="K25" s="54" t="n">
        <x:f>SUMIFS(K17:K24,$B$17:$B$24,"纳入")</x:f>
        <x:v>0</x:v>
      </x:c>
      <x:c r="L25" s="55" t="n">
        <x:f>IF(C25=0,0,D25/C25)</x:f>
        <x:v>0.2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未验收</x:v>
      </x:c>
      <x:c r="F25" s="42" t="str">
        <x:v>本地 V2 隔离验收（6006/8012，临时 SQLite 副本，projectId=8）：负责人提交、教练审批后形成 2 条重点工作和 3 条关键任务；负责人、关键任务负责人、1 名协助人、日期和标准均与提交方案一致。推进表显示全部三项；打开含协助人的任务详情能看到协助人和验收标准，返回后仍是 projectId=8。数据库 ID：重点工作 14、15；关键任务 51、52、53。</x:v>
      </x:c>
      <x:c r="G25" s="42" t="str">
        <x:v>Codex（本地 V2 隔离验收）</x:v>
      </x:c>
      <x:c r="H25" s="56" t="d">
        <x:v>2026-10-19T00:00:00.000Z</x:v>
      </x:c>
      <x:c r="I25" s="42" t="str">
        <x:v>尚未在此项目提交一条后续汇报并确认其回写仍关联同一任务 ID；完成该闭环后再将 C01 计为通过。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str">
        <x:v>隔离 SQLite + FastAPI TestClient 实际 HTTP 路由回归：单条汇报 POST /api/updates 覆盖 active（允许创建）及 draft、dispatched、pending_review、returned、pending_kickoff、pending_close、ended、archived（均拒绝且无汇报记录写入）；批量 POST /api/updates/batch 覆盖同一组状态，active 允许，其他状态拒绝且无批次/子记录写入。新增并修复 status=ended、旧 lifecycle_status=active 时错误放行的问题。单条/批量相关回归 44 项通过。仅为隔离 SQLite 与当前代码版本的 HTTP 测试，未完成真实浏览器账号、生产数据库验证及业务签收。</x:v>
      </x:c>
      <x:c r="G44" s="42" t="str">
        <x:v>Codex（隔离 HTTP 回归）</x:v>
      </x:c>
      <x:c r="H44" s="56" t="n">
        <x:v>46314</x:v>
      </x:c>
      <x:c r="I44" s="42" t="str">
        <x:v>保持“未验收”，待目标 V2 浏览器和实际账号完成操作复核，并由业务验收人签收；本地隔离 HTTP 测试不代表生产环境验收。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36433bc68442f5"/>
  </x:tableParts>
</x:worksheet>
</file>