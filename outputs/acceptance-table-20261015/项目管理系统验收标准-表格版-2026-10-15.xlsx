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f1e0660fd64b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e93283148393473b"/>
    <x:sheet xmlns:r="http://schemas.openxmlformats.org/officeDocument/2006/relationships" name="验收清单" sheetId="2" r:id="R32b0b2430b5948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3dc54745d14b41" /><Relationship Type="http://schemas.openxmlformats.org/officeDocument/2006/relationships/theme" Target="/xl/theme/theme1.xml" Id="Rf45f469a8e184a4c" /><Relationship Type="http://schemas.openxmlformats.org/officeDocument/2006/relationships/sharedStrings" Target="/xl/sharedStrings.xml" Id="Rc3600e4e51064f21" /><Relationship Type="http://schemas.openxmlformats.org/officeDocument/2006/relationships/worksheet" Target="/xl/worksheets/sheet1.xml" Id="Re93283148393473b" /><Relationship Type="http://schemas.openxmlformats.org/officeDocument/2006/relationships/worksheet" Target="/xl/worksheets/sheet2.xml" Id="R32b0b2430b59482b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c5488f49d943c6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5</x:v>
      </x:c>
      <x:c r="E19" s="52" t="n">
        <x:f>COUNTIFS('验收清单'!$B$7:$B$66,$A19,'验收清单'!$E$7:$E$66,"未验收")</x:f>
        <x:v>7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1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0.4166666666666667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7</x:v>
      </x:c>
      <x:c r="E25" s="54" t="n">
        <x:f>SUMIFS(E17:E24,$B$17:$B$24,"纳入")</x:f>
        <x:v>53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36</x:v>
      </x:c>
      <x:c r="K25" s="54" t="n">
        <x:f>SUMIFS(K17:K24,$B$17:$B$24,"纳入")</x:f>
        <x:v>0</x:v>
      </x:c>
      <x:c r="L25" s="55" t="n">
        <x:f>IF(C25=0,0,D25/C25)</x:f>
        <x:v>0.11666666666666667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str">
        <x:v>隔离 SQLite + FastAPI TestClient：项目 A 普通成员可读项目 A 任务；对项目 B 任务列表、任务详情、任务子项列表、全局子任务 project_id 查询、子任务详情及关键任务执行详情接口均收到 403；混合项目 ID 的批量子任务接口只返回项目 A 任务，不含项目 B。建立两个项目、不同任务及子任务记录，分别配置成员关系。单项 HTTP 范围回归 1/1 通过；权限与项目隔离相关回归共 67 项通过。限当前代码及隔离 SQLite，未用浏览器登录验证真实 UI 地址导航及生产账号。</x:v>
      </x:c>
      <x:c r="G8" s="42" t="str">
        <x:v>Codex（隔离 HTTP 回归）</x:v>
      </x:c>
      <x:c r="H8" s="56" t="n">
        <x:v>46314</x:v>
      </x:c>
      <x:c r="I8" s="42" t="str">
        <x:v>保持“未验收”，待本地 V2 浏览器使用实际角色账号检查直接导航、空态及切换项目后的展示，再由业务验收人签收；本测试证明 API 隔离，不替代浏览器和生产复核。</x:v>
      </x:c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180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str">
        <x:v>通过</x:v>
      </x:c>
      <x:c r="F31" s="42" t="str">
        <x:v>本地隔离 SQLite、合成项目“验收隔离项目-D05”验证，推进表临时添加 20 条滚动样例。选中“待确认日期”并滚到列表中段，打开“C07验收滚动行-14”详情：详情以覆盖侧栏显示，URL 仍为 /work/tasks?projectId=1，焦点进入详情对话框。关闭后焦点返回原任务行；筛选仍选中、重点工作分组仍展开，列表回到打开前可见范围（样例行08—20）。定向焦点测试 1/1 通过，npm run build 成功。仅覆盖本地隔离环境和合成数据，不代表生产权限验证或业务签收。</x:v>
      </x:c>
      <x:c r="G31" s="42" t="str">
        <x:v>Codex（隔离验收）</x:v>
      </x:c>
      <x:c r="H31" s="56" t="str">
        <x:v>2026-10-19</x:v>
      </x:c>
      <x:c r="I31" s="42" t="str">
        <x:v>由业务验收人结合真实项目数据和实际浏览器环境复核滚动、筛选及详情连续检查体验后签收；本地合成数据验证不代表生产验收。</x:v>
      </x:c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计入通过</x:v>
      </x:c>
    </x:row>
    <x:row r="32" ht="220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str">
        <x:v>通过</x:v>
      </x:c>
      <x:c r="F32" s="42" t="str">
        <x:v>目标 Edge 浏览器 + V2（6006）+ 隔离 SQLite。对关键任务 6 的风险保存启用定向故障：Edge 收到服务端失败提示，表单输入保留；移除触发器后在同一表单重试成功。随后显式确认解除，详情按钮恢复“标记风险”，重新打开列表无风险标记。数据库 risk_note 为空、4 条操作日志含前后值、合成触发器已删除。截图：C08-Edge-保存失败且输入保留.png、C08-Edge-移除故障后重试成功.png、C08-Edge-风险解除后列表.png。</x:v>
      </x:c>
      <x:c r="G32" s="42" t="str">
        <x:v>目标 Edge / 本地隔离验收</x:v>
      </x:c>
      <x:c r="H32" s="56" t="d">
        <x:v>2026-10-19T00:00:00.000Z</x:v>
      </x:c>
      <x:c r="I32" s="42" t="str">
        <x:v>本项通过，仅适用于隔离 SQLite 样例和当前代码版本；不代表线上 PostgreSQL 或其他验收项通过。</x:v>
      </x:c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计入通过</x:v>
      </x:c>
    </x:row>
    <x:row r="33" ht="200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str">
        <x:v>通过</x:v>
      </x:c>
      <x:c r="F33" s="42" t="str">
        <x:v>本地隔离 SQLite，按后端业务日期 2026-10-19 建立 6 条场景：10-18 未完成精确截止、10-19 当日截止、10-20 未来截止、10-18 已完成项、含过去日期但 due_kind=fuzzy 的模糊日期、无日期。V2 工作推进表显示延期指标 1；点选“延期”筛选后仅显示“C09-逾期未完成”，排除当日/未来/已完成/模糊/无日期项。另以父级重点工作已完成、旧子任务状态为空复现跨层不一致；后端 is_overdue 与前端标记均改为采用有效状态，结果不再误报。前端定向 11/11、后端相关用例 7/7 通过，npm run build 通过（存在既有 exceljs 大包警告）。合成记录已清理，仅本地验收。</x:v>
      </x:c>
      <x:c r="G33" s="42" t="str">
        <x:v>Codex（隔离浏览器验收）</x:v>
      </x:c>
      <x:c r="H33" s="56" t="str">
        <x:v>2026-10-19</x:v>
      </x:c>
      <x:c r="I33" s="42" t="str">
        <x:v>由业务验收人结合正式业务日期、真实任务数据复核延期口径后签收；本地隔离样例证明系统计算与筛选一致，不替代生产数据和业务签收。</x:v>
      </x:c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计入通过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str">
        <x:v>通过</x:v>
      </x:c>
      <x:c r="F34" s="42" t="str">
        <x:v>隔离 V2（6006）+ SQLite 验收副本。确认前：无汇报显示“尚未汇报”；待确认显示“暂无已确认进展”和审核状态，正文不泄漏。经 /api/confirmations/8/cards/0/confirm 实际单卡确认后刷新：列表正式摘要、确认人、日期、来源、下一步一致；详情相同，推进记录出现对应工作提交事件。截图：C10-确认前-列表.png、C10-确认后-列表.png、C10-确认后-详情与推进记录.png。</x:v>
      </x:c>
      <x:c r="G34" s="42" t="str">
        <x:v>本地 V2 隔离验收</x:v>
      </x:c>
      <x:c r="H34" s="56" t="d">
        <x:v>2026-10-19T00:00:00.000Z</x:v>
      </x:c>
      <x:c r="I34" s="42" t="str">
        <x:v>本项通过，仅适用于隔离 SQLite 样例和当前代码版本；不代表线上 PostgreSQL 或其他验收项通过。</x:v>
      </x:c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计入通过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str">
        <x:v>隔离 SQLite + FastAPI TestClient 实际 HTTP 路由回归：单条汇报 POST /api/updates 覆盖 active（允许创建）及 draft、dispatched、pending_review、returned、pending_kickoff、pending_close、ended、archived（均拒绝且无汇报记录写入）；批量 POST /api/updates/batch 覆盖同一组状态，active 允许，其他状态拒绝且无批次/子记录写入。新增并修复 status=ended、旧 lifecycle_status=active 时错误放行的问题。单条/批量相关回归 44 项通过。仅为隔离 SQLite 与当前代码版本的 HTTP 测试，未完成真实浏览器账号、生产数据库验证及业务签收。</x:v>
      </x:c>
      <x:c r="G44" s="42" t="str">
        <x:v>Codex（隔离 HTTP 回归）</x:v>
      </x:c>
      <x:c r="H44" s="56" t="n">
        <x:v>46314</x:v>
      </x:c>
      <x:c r="I44" s="42" t="str">
        <x:v>保持“未验收”，待目标 V2 浏览器和实际账号完成操作复核，并由业务验收人签收；本地隔离 HTTP 测试不代表生产环境验收。</x:v>
      </x:c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c5488f49d943c6"/>
  </x:tableParts>
</x:worksheet>
</file>