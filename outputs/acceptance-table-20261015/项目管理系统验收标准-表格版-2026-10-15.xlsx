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a764d10f2644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1ccdad9d6ca54f04"/>
    <x:sheet xmlns:r="http://schemas.openxmlformats.org/officeDocument/2006/relationships" name="验收清单" sheetId="2" r:id="R0f5331c6df2543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2badf42147423d" /><Relationship Type="http://schemas.openxmlformats.org/officeDocument/2006/relationships/theme" Target="/xl/theme/theme1.xml" Id="R09f1ec3038cc492a" /><Relationship Type="http://schemas.openxmlformats.org/officeDocument/2006/relationships/sharedStrings" Target="/xl/sharedStrings.xml" Id="Rd8f47a0c559e41a5" /><Relationship Type="http://schemas.openxmlformats.org/officeDocument/2006/relationships/worksheet" Target="/xl/worksheets/sheet1.xml" Id="R1ccdad9d6ca54f04" /><Relationship Type="http://schemas.openxmlformats.org/officeDocument/2006/relationships/worksheet" Target="/xl/worksheets/sheet2.xml" Id="R0f5331c6df25436c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64fca94dc224abe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0</x:v>
      </x:c>
      <x:c r="E17" s="50" t="n">
        <x:f>COUNTIFS('验收清单'!$B$7:$B$66,$A17,'验收清单'!$E$7:$E$66,"未验收")</x:f>
        <x:v>6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6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5</x:v>
      </x:c>
      <x:c r="E19" s="52" t="n">
        <x:f>COUNTIFS('验收清单'!$B$7:$B$66,$A19,'验收清单'!$E$7:$E$66,"未验收")</x:f>
        <x:v>7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1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0.4166666666666667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2</x:v>
      </x:c>
      <x:c r="E20" s="52" t="n">
        <x:f>COUNTIFS('验收清单'!$B$7:$B$66,$A20,'验收清单'!$E$7:$E$66,"未验收")</x:f>
        <x:v>6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7</x:v>
      </x:c>
      <x:c r="E25" s="54" t="n">
        <x:f>SUMIFS(E17:E24,$B$17:$B$24,"纳入")</x:f>
        <x:v>53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36</x:v>
      </x:c>
      <x:c r="K25" s="54" t="n">
        <x:f>SUMIFS(K17:K24,$B$17:$B$24,"纳入")</x:f>
        <x:v>0</x:v>
      </x:c>
      <x:c r="L25" s="55" t="n">
        <x:f>IF(C25=0,0,D25/C25)</x:f>
        <x:v>0.11666666666666667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n"/>
      <x:c r="G8" s="42" t="n"/>
      <x:c r="H8" s="56" t="n"/>
      <x:c r="I8" s="42" t="n"/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inlineStr">
        <x:is>
          <x:t xml:space="preserve">未验收</x:t>
        </x:is>
      </x:c>
      <x:c r="F9" s="42" t="n"/>
      <x:c r="G9" s="42" t="n"/>
      <x:c r="H9" s="56" t="n"/>
      <x:c r="I9" s="42" t="n"/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未通过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inlineStr">
        <x:is>
          <x:t xml:space="preserve">未验收</x:t>
        </x:is>
      </x:c>
      <x:c r="F10" s="42" t="n"/>
      <x:c r="G10" s="42" t="n"/>
      <x:c r="H10" s="56" t="n"/>
      <x:c r="I10" s="42" t="n"/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str">
        <x:v>后端状态门禁回归：单条正式汇报入口覆盖 draft、dispatched、pending_review、returned、pending_kickoff、pending_close、ended、archived，均拒绝且无汇报记录写入；active 正向路径由同文件既有测试覆盖。批量汇报入口覆盖 draft、dispatched、pending_review、returned、pending_close、ended、archived，均拒绝且无批次/子记录写入。新增发现并修复 status=ended、旧 lifecycle_status=active 时错误放行的问题。相关后端测试 41 项通过。范围：代码及隔离单元/服务测试，尚未完成浏览器真实账号及线上数据库复核。</x:v>
      </x:c>
      <x:c r="G44" s="42" t="str">
        <x:v>Codex（后端回归）</x:v>
      </x:c>
      <x:c r="H44" s="56" t="n">
        <x:v>46314</x:v>
      </x:c>
      <x:c r="I44" s="42" t="str">
        <x:v>保持“未验收”，待完成 V2 浏览器/接口实际账号矩阵复核并由业务验收人签收；本地测试通过不代表线上验收。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64fca94dc224abe"/>
  </x:tableParts>
</x:worksheet>
</file>