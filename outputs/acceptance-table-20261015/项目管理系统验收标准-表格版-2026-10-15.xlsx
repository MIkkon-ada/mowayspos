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47b538489447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4036732a28334206"/>
    <x:sheet xmlns:r="http://schemas.openxmlformats.org/officeDocument/2006/relationships" name="验收清单" sheetId="2" r:id="R4cc842a997e94d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208f1d0f5e42f0" /><Relationship Type="http://schemas.openxmlformats.org/officeDocument/2006/relationships/theme" Target="/xl/theme/theme1.xml" Id="R47376089ec894540" /><Relationship Type="http://schemas.openxmlformats.org/officeDocument/2006/relationships/sharedStrings" Target="/xl/sharedStrings.xml" Id="R5bd469197e8b4f09" /><Relationship Type="http://schemas.openxmlformats.org/officeDocument/2006/relationships/worksheet" Target="/xl/worksheets/sheet1.xml" Id="R4036732a28334206" /><Relationship Type="http://schemas.openxmlformats.org/officeDocument/2006/relationships/worksheet" Target="/xl/worksheets/sheet2.xml" Id="R4cc842a997e94dcf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660954d6b2947bb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3</x:v>
      </x:c>
      <x:c r="E17" s="50" t="n">
        <x:f>COUNTIFS('验收清单'!$B$7:$B$66,$A17,'验收清单'!$E$7:$E$66,"未验收")</x:f>
        <x:v>3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3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0.5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1</x:v>
      </x:c>
      <x:c r="E18" s="52" t="n">
        <x:f>COUNTIFS('验收清单'!$B$7:$B$66,$A18,'验收清单'!$E$7:$E$66,"未验收")</x:f>
        <x:v>11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8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0.08333333333333333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6</x:v>
      </x:c>
      <x:c r="E19" s="52" t="n">
        <x:f>COUNTIFS('验收清单'!$B$7:$B$66,$A19,'验收清单'!$E$7:$E$66,"未验收")</x:f>
        <x:v>6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0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0.5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5</x:v>
      </x:c>
      <x:c r="E20" s="52" t="n">
        <x:f>COUNTIFS('验收清单'!$B$7:$B$66,$A20,'验收清单'!$E$7:$E$66,"未验收")</x:f>
        <x:v>3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3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0.625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15</x:v>
      </x:c>
      <x:c r="E25" s="54" t="n">
        <x:f>SUMIFS(E17:E24,$B$17:$B$24,"纳入")</x:f>
        <x:v>45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28</x:v>
      </x:c>
      <x:c r="K25" s="54" t="n">
        <x:f>SUMIFS(K17:K24,$B$17:$B$24,"纳入")</x:f>
        <x:v>0</x:v>
      </x:c>
      <x:c r="L25" s="55" t="n">
        <x:f>IF(C25=0,0,D25/C25)</x:f>
        <x:v>0.25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str">
        <x:v>通过</x:v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任务。另用跨项目卡片篡改请求调用 POST /api/updates，单独项目的汇报引用项目 B 的重点工作、关键任务或 project_id 时返回 422，且不创建待确认记录。项目隔离和汇报边界相关回归 68 项通过。使用隔离 SQLite 和测试角色账号；未用浏览器真实登录或生产 PostgreSQL。</x:v>
      </x:c>
      <x:c r="G8" s="42" t="str">
        <x:v>Codex（隔离 HTTP 回归）</x:v>
      </x:c>
      <x:c r="H8" s="56" t="n">
        <x:v>46314</x:v>
      </x:c>
      <x:c r="I8" s="42" t="str">
        <x:v>当前代码版本下，API 项目范围隔离通过。正式发布前仍需按验收步骤检查真实浏览器地址导航及生产账号；此项不代表整体验收签收。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计入通过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str">
        <x:v>通过</x:v>
      </x:c>
      <x:c r="F9" s="42" t="str">
        <x:v>隔离 SQLite + FastAPI TestClient 实际 POST /api/projects/1/approve：待审核项目下，成员、项目 PM、统筹人及公司管理账号均返回 403，项目状态仍为 pending_review；本项目企业教练审核返回 200 并转为 active。另以新隔离项目验证技术管理员例外返回 200 并进入 active。项目角色矩阵与生命周期相关回归共 51 项通过。限当前代码及隔离 SQLite，生产账号、生产 PostgreSQL 与业务签收未验证。</x:v>
      </x:c>
      <x:c r="G9" s="42" t="str">
        <x:v>Codex（隔离 HTTP 回归）</x:v>
      </x:c>
      <x:c r="H9" s="56" t="n">
        <x:v>46314</x:v>
      </x:c>
      <x:c r="I9" s="42" t="str">
        <x:v>本地当前版本按验收角色与技术管理员例外通过。上线前仍需使用目标环境正式账号复核；该结果不代表其他立项条目或整体验收签收。</x:v>
      </x:c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计入通过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str">
        <x:v>通过</x:v>
      </x:c>
      <x:c r="F23" s="42" t="str">
        <x:v>本地 V2 隔离验收（6006/8012，临时 SQLite 副本，projectId=8）：项目从 dispatched 经负责人提交进入 pending_review，教练批准后状态为 active 且 is_active=true；operation_logs 记录负责人提交（ID 217）与教练批准（ID 218）。批准后工作推进表直接可见 2 条重点工作和 3 条关键任务，责任人、计划时间与标准均保留，无额外启动会门槛。</x:v>
      </x:c>
      <x:c r="G23" s="42" t="str">
        <x:v>Codex（本地 V2 隔离验收）</x:v>
      </x:c>
      <x:c r="H23" s="56" t="d">
        <x:v>2026-10-19T00:00:00.000Z</x:v>
      </x:c>
      <x:c r="I23" s="42" t="str">
        <x:v>同一隔离项目的多项方案、负责人/协助人、日期及标准对照另记录在 C01；生产环境仍按部署验收项检查。</x:v>
      </x:c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计入通过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str">
        <x:v>通过</x:v>
      </x:c>
      <x:c r="F25" s="42" t="str">
        <x:v>本地 V2 隔离验收（6006/8012，临时 SQLite 副本，projectId=8）：负责人提交、教练审批后，工作推进表与批准方案一致，共 2 条重点工作（ID 14、15）和 3 条关键任务（ID 51、52、53）。责任人、协助人（关键任务 51 的 C01 Helper）、计划日期及验收标准均保留；打开该任务详情可见协助人与标准，返回后项目和表格行保持。随后成员提交并由负责人确认一条进展汇报（submission_id=4）；汇报卡片 matched_subtask_id=51、parent_task_id=14、project_id=8，确认后 submission.related_task_id=14 且 subtask 51 的 source_submission_id=4。基线、详情与后续更新关联同一任务 ID，未生成重复任务。</x:v>
      </x:c>
      <x:c r="G25" s="42" t="str">
        <x:v>Codex（本地 V2 隔离验收）</x:v>
      </x:c>
      <x:c r="H25" s="56" t="d">
        <x:v>2026-10-19T00:00:00.000Z</x:v>
      </x:c>
      <x:c r="I25" s="42" t="str">
        <x:v>本项以结构化测试样例验证确认回写及 ID 关联；真实 AI 抽取质量仍按 D02 验收，生产环境按部署验收项检查。</x:v>
      </x:c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计入通过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str">
        <x:v>通过</x:v>
      </x:c>
      <x:c r="F37" s="42" t="str">
        <x:v>本地 V2 隔离验收（6006/8012，SQLite 副本；提取步骤使用确定性测试 fixture，不评价 AI 质量）：任务页入口自动带入项目 6、重点工作 12、关键任务 49，提交 ID 4；全局“指定项目”选择项目 6，卡片显示重点工作 12、关键任务 49，提交 ID 6（批次 2）。两条记录均进入历史提交并显示待确认，数据库 task_reports 绑定均为 project_id=6、parent_task_id=12、matched_subtask_id=49。项目选择器只展示该测试账号获授权的项目。</x:v>
      </x:c>
      <x:c r="G37" s="42" t="str">
        <x:v>Codex（本地 V2 隔离浏览器）</x:v>
      </x:c>
      <x:c r="H37" s="56" t="d">
        <x:v>2026-10-19T00:00:00.000Z</x:v>
      </x:c>
      <x:c r="I37" s="42" t="str">
        <x:v>真实 AI 提取质量另按 AI 验收项验证。本次 UI 账号仅获授权 D01 临时项目；跨项目拒绝与确认回写按各自验收项继续核验。</x:v>
      </x:c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计入通过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str">
        <x:v>通过</x:v>
      </x:c>
      <x:c r="F39" s="42" t="str">
        <x:v>本地 V2 隔离验收（6006/8012，临时 SQLite 副本，projectId=8）：成员提交 ID 6 后，负责人确认中心接口返回的待审列表含该 ID，状态为“待确认”。确认前关键任务 53 的 notes 为空、source_submission_id 为空；该汇报来源的问题数和成果数均为 0。此前已确认入库的汇报 ID 4 仍存在且状态未变。</x:v>
      </x:c>
      <x:c r="G39" s="42" t="str">
        <x:v>Codex（本地 V2 隔离 API 验收）</x:v>
      </x:c>
      <x:c r="H39" s="56" t="d">
        <x:v>2026-10-19T00:00:00.000Z</x:v>
      </x:c>
      <x:c r="I39" s="42" t="str">
        <x:v>使用结构化测试样例核对确认前隔离；真实 AI 抽取质量另按 D02 验收。</x:v>
      </x:c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计入通过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str">
        <x:v>通过</x:v>
      </x:c>
      <x:c r="F40" s="42" t="str">
        <x:v>同一隔离样例由负责人确认汇报 ID 6 后进入“已入库”。仅写入 1 条进展摘要；问题 ID 2、成果 ID 1 各 1 条，均为 project_id=8、task_id=15、subtask_id=53、source_submission_id=6，人员为提交人 C01 Member，确认人为 C01 Owner。汇报 related_task_id=15、关键任务 source_submission_id=6；重复确认返回 409，问题、成果及进展摘要数量未增加。</x:v>
      </x:c>
      <x:c r="G40" s="42" t="str">
        <x:v>Codex（本地 V2 隔离 API 验收）</x:v>
      </x:c>
      <x:c r="H40" s="56" t="d">
        <x:v>2026-10-19T00:00:00.000Z</x:v>
      </x:c>
      <x:c r="I40" s="42" t="str">
        <x:v>附件上传可用性由 E04 单独验收；真实 AI 抽取质量另按 D02 验收。</x:v>
      </x:c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计入通过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str">
        <x:v>隔离 SQLite + FastAPI TestClient 实际 HTTP 路由回归：单条汇报 POST /api/updates 覆盖 active（允许创建）及 draft、dispatched、pending_review、returned、pending_kickoff、pending_close、ended、archived（均拒绝且无汇报记录写入）；批量 POST /api/updates/batch 覆盖同一组状态，active 允许，其他状态拒绝且无批次/子记录写入。新增并修复 status=ended、旧 lifecycle_status=active 时错误放行的问题。单条/批量相关回归 44 项通过。仅为隔离 SQLite 与当前代码版本的 HTTP 测试，未完成真实浏览器账号、生产数据库验证及业务签收。</x:v>
      </x:c>
      <x:c r="G44" s="42" t="str">
        <x:v>Codex（隔离 HTTP 回归）</x:v>
      </x:c>
      <x:c r="H44" s="56" t="n">
        <x:v>46314</x:v>
      </x:c>
      <x:c r="I44" s="42" t="str">
        <x:v>保持“未验收”，待目标 V2 浏览器和实际账号完成操作复核，并由业务验收人签收；本地隔离 HTTP 测试不代表生产环境验收。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60954d6b2947bb"/>
  </x:tableParts>
</x:worksheet>
</file>