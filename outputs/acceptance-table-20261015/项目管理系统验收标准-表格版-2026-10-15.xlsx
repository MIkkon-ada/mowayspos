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ccee06d0cb41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7454832694b349ca"/>
    <x:sheet xmlns:r="http://schemas.openxmlformats.org/officeDocument/2006/relationships" name="验收清单" sheetId="2" r:id="R51813fc19e4a46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4ac1284f7b468c" /><Relationship Type="http://schemas.openxmlformats.org/officeDocument/2006/relationships/theme" Target="/xl/theme/theme1.xml" Id="Rffd3202836b44e7f" /><Relationship Type="http://schemas.openxmlformats.org/officeDocument/2006/relationships/sharedStrings" Target="/xl/sharedStrings.xml" Id="R8c3ea19edcd84e21" /><Relationship Type="http://schemas.openxmlformats.org/officeDocument/2006/relationships/worksheet" Target="/xl/worksheets/sheet1.xml" Id="R7454832694b349ca" /><Relationship Type="http://schemas.openxmlformats.org/officeDocument/2006/relationships/worksheet" Target="/xl/worksheets/sheet2.xml" Id="R51813fc19e4a4615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6cddeb71a74ebe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6</x:v>
      </x:c>
      <x:c r="E18" s="52" t="n">
        <x:f>COUNTIFS('验收清单'!$B$7:$B$66,$A18,'验收清单'!$E$7:$E$66,"未验收")</x:f>
        <x:v>6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3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0.5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23</x:v>
      </x:c>
      <x:c r="E25" s="54" t="n">
        <x:f>SUMIFS(E17:E24,$B$17:$B$24,"纳入")</x:f>
        <x:v>37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20</x:v>
      </x:c>
      <x:c r="K25" s="54" t="n">
        <x:f>SUMIFS(K17:K24,$B$17:$B$24,"纳入")</x:f>
        <x:v>0</x:v>
      </x:c>
      <x:c r="L25" s="55" t="n">
        <x:f>IF(C25=0,0,D25/C25)</x:f>
        <x:v>0.38333333333333336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str">
        <x:v>通过</x:v>
      </x:c>
      <x:c r="F15" s="42" t="str">
        <x:v>V2 管理页 6005 → API 8011 → 隔离 SQLite：新建草稿成功（项目 ID 11），配置企业教练、负责人、统筹人、协同成员；负责人兼任协同成员。打开成员管理页后 5 条关系与所配角色一致，项目列表正确显示负责人和教练。前端成员同步单测 1/1 通过。截图：evidence/B03/项目列表.png；evidence/B03/成员角色详情.png。</x:v>
      </x:c>
      <x:c r="G15" s="42" t="str">
        <x:v>Codex</x:v>
      </x:c>
      <x:c r="H15" s="56" t="str">
        <x:v>2026-10-19</x:v>
      </x:c>
      <x:c r="I15" s="42" t="str">
        <x:v>本项通过；线上与生产 PostgreSQL 未涉及。</x:v>
      </x:c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计入通过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str">
        <x:v>通过</x:v>
      </x:c>
      <x:c r="F16" s="42" t="str">
        <x:v>V2 管理页 6005 → API 8011 → 隔离 SQLite。缺项目目标、缺开始日期、缺项目负责人、缺企业教练四种草稿，POST /dispatch 均返回 409，状态保持 draft；V2“待我处理”展开全部后，分别显示实际缺项。补齐四项且结束日期留空时，V2 下发返回 200，状态 dispatched；结束日期早于开始日期时返回 409，草稿状态不变。后端生命周期测试 43/43、前端相关单测 7/7 通过。截图：evidence/B04/目标与开始日期缺项提示.png、evidence/B04/负责人和教练缺项提示.png、evidence/B04/信息齐全草稿下发.png。</x:v>
      </x:c>
      <x:c r="G16" s="42" t="str">
        <x:v>Codex</x:v>
      </x:c>
      <x:c r="H16" s="56" t="str">
        <x:v>2026-10-19</x:v>
      </x:c>
      <x:c r="I16" s="42" t="str">
        <x:v>本项通过；仅验证本地隔离 SQLite 和 V2，不代表生产 PostgreSQL 验收。</x:v>
      </x:c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计入通过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210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str">
        <x:v>通过</x:v>
      </x:c>
      <x:c r="F18" s="42" t="str">
        <x:v>隔离 SQLite 副本 project 8（C01 Owner，项目已派发）填写不完整方案：保留重点工作目标长文本，修改关键任务名称、负责人为 C01 Helper（人员 ID 22）、日期为 2026-10-20 至 2026-10-27，并将评价指标留空。首次自动保存被临时测试环境来源校验拒绝，页面明确提示未保存并可重试，字段仍保留；将 6006 加入隔离后端允许来源后，手动重试 PUT 返回 200。再次修改长文本后自动保存 PUT 返回 200。刷新并离开项目详情后重新进入，长文本、任务名、负责人、日期均恢复，空指标仍为空；数据库项目状态保持 dispatched，未提交审核。</x:v>
      </x:c>
      <x:c r="G18" s="42" t="str">
        <x:v>Codex 本地隔离验收：V2 前端 6006、后端 8012、独立 SQLite 副本；负责人 UI 操作、后端请求日志及数据库只读核对。</x:v>
      </x:c>
      <x:c r="H18" s="56" t="str">
        <x:v>2026-10-19</x:v>
      </x:c>
      <x:c r="I18" s="42" t="str">
        <x:v>只验证本地隔离副本的草稿自动/手动保存、错误提示、刷新及离开重进；未在生产 PostgreSQL 或线上环境验证。</x:v>
      </x:c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计入通过</x:v>
      </x:c>
    </x:row>
    <x:row r="19" ht="285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str">
        <x:v>通过</x:v>
      </x:c>
      <x:c r="F19" s="42" t="str">
        <x:v>隔离 SQLite 副本 project 8（C01 Owner，已派发）在负责人页面提交方案，POST /owner-submit 返回 200，项目详情显示“待审核”；正式方案写入 2 项重点工作、3 项关键任务，提交草稿清空。待审时负责人入口不再呈现编辑表单。随后用同一 PM 身份发起重复提交，返回 409 / PROJECT_STATE_CONFLICT；尝试修改待审草稿返回 409 / PROJECT_STATE_CONFLICT；负责人尝试直接审核通过返回 403 / PROJECT_ACTION_DENIED。上述拒绝请求后，数据库状态仍为 pending_review，提交审核日志未增加，任务数仍为 2/3；提交动作仅新增一条状态日志（ID 226），未重复写入任务。</x:v>
      </x:c>
      <x:c r="G19" s="42" t="str">
        <x:v>Codex 本地隔离验收：V2 前端 6006、后端 8012、独立 SQLite 副本；负责人 UI 提交、服务端 TestClient 带有效隔离会话进行状态/权限探测、SQLite 只读对照。</x:v>
      </x:c>
      <x:c r="H19" s="56" t="str">
        <x:v>2026-10-19</x:v>
      </x:c>
      <x:c r="I19" s="42" t="str">
        <x:v>仅验证本地隔离 SQLite 的方案提交、待审只读和服务端状态/权限保护；未在生产 PostgreSQL 或线上环境验证。</x:v>
      </x:c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计入通过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270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str">
        <x:v>通过</x:v>
      </x:c>
      <x:c r="F21" s="42" t="str">
        <x:v>从待审核的隔离副本 project 8 由企业教练账号退回，POST /return 返回 200、状态变为 returned；负责人重新打开方案页可见退回意见“请补充关键任务的验收依据，并说明负责人责任边界”，原 2 项重点工作和 3 项关键任务均恢复。负责人只修改任务 51 的评价指标以回应意见，保存草稿 PUT 返回 200，再提交 POST 返回 200、状态回到 pending_review。其余任务、负责人、日期与原内容保持，数据库仍为 2 项重点工作 / 3 项任务；审计记录退回 ID 227、重提 ID 228，无需重新录入整份方案。</x:v>
      </x:c>
      <x:c r="G21" s="42" t="str">
        <x:v>Codex 本地隔离验收：V2 前端 6006、后端 8012、独立 SQLite 副本；教练 API 退回、负责人 UI 查看/修订/重提、请求日志与 SQLite 只读核对。</x:v>
      </x:c>
      <x:c r="H21" s="56" t="str">
        <x:v>2026-10-19</x:v>
      </x:c>
      <x:c r="I21" s="42" t="str">
        <x:v>仅验证本地隔离 SQLite 的退回意见展示、原方案恢复、局部修订及再次提交；未在生产 PostgreSQL 或线上环境验证。</x:v>
      </x:c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计入通过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6cddeb71a74ebe"/>
  </x:tableParts>
</x:worksheet>
</file>