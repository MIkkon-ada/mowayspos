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25b737eb344b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90e8a21367c74cfa"/>
    <x:sheet xmlns:r="http://schemas.openxmlformats.org/officeDocument/2006/relationships" name="验收清单" sheetId="2" r:id="Rfbab88425bd946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5f8e00c2104639" /><Relationship Type="http://schemas.openxmlformats.org/officeDocument/2006/relationships/theme" Target="/xl/theme/theme1.xml" Id="R8169a3294728458c" /><Relationship Type="http://schemas.openxmlformats.org/officeDocument/2006/relationships/sharedStrings" Target="/xl/sharedStrings.xml" Id="Rd1d300aee8064154" /><Relationship Type="http://schemas.openxmlformats.org/officeDocument/2006/relationships/worksheet" Target="/xl/worksheets/sheet1.xml" Id="R90e8a21367c74cfa" /><Relationship Type="http://schemas.openxmlformats.org/officeDocument/2006/relationships/worksheet" Target="/xl/worksheets/sheet2.xml" Id="Rfbab88425bd946ee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8cafee691534f30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3</x:v>
      </x:c>
      <x:c r="E17" s="50" t="n">
        <x:f>COUNTIFS('验收清单'!$B$7:$B$66,$A17,'验收清单'!$E$7:$E$66,"未验收")</x:f>
        <x:v>3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3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0.5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8</x:v>
      </x:c>
      <x:c r="E18" s="52" t="n">
        <x:f>COUNTIFS('验收清单'!$B$7:$B$66,$A18,'验收清单'!$E$7:$E$66,"未验收")</x:f>
        <x:v>4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1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0.6666666666666666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6</x:v>
      </x:c>
      <x:c r="E19" s="52" t="n">
        <x:f>COUNTIFS('验收清单'!$B$7:$B$66,$A19,'验收清单'!$E$7:$E$66,"未验收")</x:f>
        <x:v>6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0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0.5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8</x:v>
      </x:c>
      <x:c r="E20" s="52" t="n">
        <x:f>COUNTIFS('验收清单'!$B$7:$B$66,$A20,'验收清单'!$E$7:$E$66,"未验收")</x:f>
        <x:v>0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0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1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0</x:v>
      </x:c>
      <x:c r="E24" s="52" t="n">
        <x:f>COUNTIFS('验收清单'!$B$7:$B$66,$A24,'验收清单'!$E$7:$E$66,"未验收")</x:f>
        <x:v>6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3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25</x:v>
      </x:c>
      <x:c r="E25" s="54" t="n">
        <x:f>SUMIFS(E17:E24,$B$17:$B$24,"纳入")</x:f>
        <x:v>35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18</x:v>
      </x:c>
      <x:c r="K25" s="54" t="n">
        <x:f>SUMIFS(K17:K24,$B$17:$B$24,"纳入")</x:f>
        <x:v>0</x:v>
      </x:c>
      <x:c r="L25" s="55" t="n">
        <x:f>IF(C25=0,0,D25/C25)</x:f>
        <x:v>0.4166666666666667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str">
        <x:v>通过</x:v>
      </x:c>
      <x:c r="F8" s="42" t="str">
        <x:v>隔离 SQLite + FastAPI TestClient：项目 A 普通成员可读项目 A 任务；对项目 B 任务列表、任务详情、任务子项列表、全局子任务 project_id 查询、子任务详情及关键任务执行详情接口均收到 403；混合项目 ID 的批量子任务接口只返回项目 A 任务。另用跨项目卡片篡改请求调用 POST /api/updates，单独项目的汇报引用项目 B 的重点工作、关键任务或 project_id 时返回 422，且不创建待确认记录。项目隔离和汇报边界相关回归 68 项通过。使用隔离 SQLite 和测试角色账号；未用浏览器真实登录或生产 PostgreSQL。</x:v>
      </x:c>
      <x:c r="G8" s="42" t="str">
        <x:v>Codex（隔离 HTTP 回归）</x:v>
      </x:c>
      <x:c r="H8" s="56" t="n">
        <x:v>46314</x:v>
      </x:c>
      <x:c r="I8" s="42" t="str">
        <x:v>当前代码版本下，API 项目范围隔离通过。正式发布前仍需按验收步骤检查真实浏览器地址导航及生产账号；此项不代表整体验收签收。</x:v>
      </x:c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计入通过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str">
        <x:v>通过</x:v>
      </x:c>
      <x:c r="F9" s="42" t="str">
        <x:v>隔离 SQLite + FastAPI TestClient 实际 POST /api/projects/1/approve：待审核项目下，成员、项目 PM、统筹人及公司管理账号均返回 403，项目状态仍为 pending_review；本项目企业教练审核返回 200 并转为 active。另以新隔离项目验证技术管理员例外返回 200 并进入 active。项目角色矩阵与生命周期相关回归共 51 项通过。限当前代码及隔离 SQLite，生产账号、生产 PostgreSQL 与业务签收未验证。</x:v>
      </x:c>
      <x:c r="G9" s="42" t="str">
        <x:v>Codex（隔离 HTTP 回归）</x:v>
      </x:c>
      <x:c r="H9" s="56" t="n">
        <x:v>46314</x:v>
      </x:c>
      <x:c r="I9" s="42" t="str">
        <x:v>本地当前版本按验收角色与技术管理员例外通过。上线前仍需使用目标环境正式账号复核；该结果不代表其他立项条目或整体验收签收。</x:v>
      </x:c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计入通过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str">
        <x:v>通过</x:v>
      </x:c>
      <x:c r="F10" s="42" t="str">
        <x:v>隔离 SQLite + FastAPI TestClient 实际 HTTP 路由：先由项目成员创建待确认汇报。成员、统筹人、企业教练分别请求 POST /api/confirmations/{id}/confirm 均返回 403，拒绝后状态保持待确认；本项目 PM 请求同一接口返回 200，状态变为已确认。使用项目真实角色关系和独立账号记录。A04 定向 HTTP 角色矩阵 1/1 通过；含全角色生命周期、公司管理边界与协调流程的回归共 34 项通过。限当前代码及隔离 SQLite，生产 PostgreSQL、生产账号和业务签收未验证。</x:v>
      </x:c>
      <x:c r="G10" s="42" t="str">
        <x:v>Codex（隔离 HTTP 回归）</x:v>
      </x:c>
      <x:c r="H10" s="56" t="n">
        <x:v>46314</x:v>
      </x:c>
      <x:c r="I10" s="42" t="str">
        <x:v>本地当前版本按要求的角色和 HTTP 接口通过。上线前仍需在目标部署版本复核正式账号；该证据不代表其他验收项通过或整体验收签收。</x:v>
      </x:c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计入通过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str">
        <x:v>通过</x:v>
      </x:c>
      <x:c r="F13" s="42" t="str">
        <x:v>V2 管理页 6005 → API 8011 → 隔离 SQLite：通过新建弹窗创建项目（ID 10），POST /api/projects 200，保存后 lifecycle_status 为 draft。刷新项目列表仍显示草稿、已填资料、下一步“下发给负责人”；刷新项目详情后名称、目标、项目周期、教练、负责人一致，详情页显示正确下发提示和下发入口。另建隔离项目验证详情页下发：POST /dispatch 200，状态变为 dispatched，刷新后保持。截图：evidence/B01/项目列表刷新.png、evidence/B01/项目详情刷新.png、evidence/B01/详情页下发与刷新.png。</x:v>
      </x:c>
      <x:c r="G13" s="42" t="str">
        <x:v>Codex</x:v>
      </x:c>
      <x:c r="H13" s="56" t="str">
        <x:v>2026-10-19</x:v>
      </x:c>
      <x:c r="I13" s="42" t="str">
        <x:v>本项通过；仅验证本地 V2 和隔离 SQLite，不代表生产 PostgreSQL 验收。</x:v>
      </x:c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计入通过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str">
        <x:v>通过</x:v>
      </x:c>
      <x:c r="F15" s="42" t="str">
        <x:v>V2 管理页 6005 → API 8011 → 隔离 SQLite：新建草稿成功（项目 ID 11），配置企业教练、负责人、统筹人、协同成员；负责人兼任协同成员。打开成员管理页后 5 条关系与所配角色一致，项目列表正确显示负责人和教练。前端成员同步单测 1/1 通过。截图：evidence/B03/项目列表.png；evidence/B03/成员角色详情.png。</x:v>
      </x:c>
      <x:c r="G15" s="42" t="str">
        <x:v>Codex</x:v>
      </x:c>
      <x:c r="H15" s="56" t="str">
        <x:v>2026-10-19</x:v>
      </x:c>
      <x:c r="I15" s="42" t="str">
        <x:v>本项通过；线上与生产 PostgreSQL 未涉及。</x:v>
      </x:c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计入通过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str">
        <x:v>通过</x:v>
      </x:c>
      <x:c r="F16" s="42" t="str">
        <x:v>V2 管理页 6005 → API 8011 → 隔离 SQLite。缺项目目标、缺开始日期、缺项目负责人、缺企业教练四种草稿，POST /dispatch 均返回 409，状态保持 draft；V2“待我处理”展开全部后，分别显示实际缺项。补齐四项且结束日期留空时，V2 下发返回 200，状态 dispatched；结束日期早于开始日期时返回 409，草稿状态不变。后端生命周期测试 43/43、前端相关单测 7/7 通过。截图：evidence/B04/目标与开始日期缺项提示.png、evidence/B04/负责人和教练缺项提示.png、evidence/B04/信息齐全草稿下发.png。</x:v>
      </x:c>
      <x:c r="G16" s="42" t="str">
        <x:v>Codex</x:v>
      </x:c>
      <x:c r="H16" s="56" t="str">
        <x:v>2026-10-19</x:v>
      </x:c>
      <x:c r="I16" s="42" t="str">
        <x:v>本项通过；仅验证本地隔离 SQLite 和 V2，不代表生产 PostgreSQL 验收。</x:v>
      </x:c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计入通过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210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str">
        <x:v>通过</x:v>
      </x:c>
      <x:c r="F18" s="42" t="str">
        <x:v>隔离 SQLite 副本 project 8（C01 Owner，项目已派发）填写不完整方案：保留重点工作目标长文本，修改关键任务名称、负责人为 C01 Helper（人员 ID 22）、日期为 2026-10-20 至 2026-10-27，并将评价指标留空。首次自动保存被临时测试环境来源校验拒绝，页面明确提示未保存并可重试，字段仍保留；将 6006 加入隔离后端允许来源后，手动重试 PUT 返回 200。再次修改长文本后自动保存 PUT 返回 200。刷新并离开项目详情后重新进入，长文本、任务名、负责人、日期均恢复，空指标仍为空；数据库项目状态保持 dispatched，未提交审核。</x:v>
      </x:c>
      <x:c r="G18" s="42" t="str">
        <x:v>Codex 本地隔离验收：V2 前端 6006、后端 8012、独立 SQLite 副本；负责人 UI 操作、后端请求日志及数据库只读核对。</x:v>
      </x:c>
      <x:c r="H18" s="56" t="str">
        <x:v>2026-10-19</x:v>
      </x:c>
      <x:c r="I18" s="42" t="str">
        <x:v>只验证本地隔离副本的草稿自动/手动保存、错误提示、刷新及离开重进；未在生产 PostgreSQL 或线上环境验证。</x:v>
      </x:c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计入通过</x:v>
      </x:c>
    </x:row>
    <x:row r="19" ht="285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str">
        <x:v>通过</x:v>
      </x:c>
      <x:c r="F19" s="42" t="str">
        <x:v>隔离 SQLite 副本 project 8（C01 Owner，已派发）在负责人页面提交方案，POST /owner-submit 返回 200，项目详情显示“待审核”；正式方案写入 2 项重点工作、3 项关键任务，提交草稿清空。待审时负责人入口不再呈现编辑表单。随后用同一 PM 身份发起重复提交，返回 409 / PROJECT_STATE_CONFLICT；尝试修改待审草稿返回 409 / PROJECT_STATE_CONFLICT；负责人尝试直接审核通过返回 403 / PROJECT_ACTION_DENIED。上述拒绝请求后，数据库状态仍为 pending_review，提交审核日志未增加，任务数仍为 2/3；提交动作仅新增一条状态日志（ID 226），未重复写入任务。</x:v>
      </x:c>
      <x:c r="G19" s="42" t="str">
        <x:v>Codex 本地隔离验收：V2 前端 6006、后端 8012、独立 SQLite 副本；负责人 UI 提交、服务端 TestClient 带有效隔离会话进行状态/权限探测、SQLite 只读对照。</x:v>
      </x:c>
      <x:c r="H19" s="56" t="str">
        <x:v>2026-10-19</x:v>
      </x:c>
      <x:c r="I19" s="42" t="str">
        <x:v>仅验证本地隔离 SQLite 的方案提交、待审只读和服务端状态/权限保护；未在生产 PostgreSQL 或线上环境验证。</x:v>
      </x:c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计入通过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270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str">
        <x:v>通过</x:v>
      </x:c>
      <x:c r="F21" s="42" t="str">
        <x:v>从待审核的隔离副本 project 8 由企业教练账号退回，POST /return 返回 200、状态变为 returned；负责人重新打开方案页可见退回意见“请补充关键任务的验收依据，并说明负责人责任边界”，原 2 项重点工作和 3 项关键任务均恢复。负责人只修改任务 51 的评价指标以回应意见，保存草稿 PUT 返回 200，再提交 POST 返回 200、状态回到 pending_review。其余任务、负责人、日期与原内容保持，数据库仍为 2 项重点工作 / 3 项任务；审计记录退回 ID 227、重提 ID 228，无需重新录入整份方案。</x:v>
      </x:c>
      <x:c r="G21" s="42" t="str">
        <x:v>Codex 本地隔离验收：V2 前端 6006、后端 8012、独立 SQLite 副本；教练 API 退回、负责人 UI 查看/修订/重提、请求日志与 SQLite 只读核对。</x:v>
      </x:c>
      <x:c r="H21" s="56" t="str">
        <x:v>2026-10-19</x:v>
      </x:c>
      <x:c r="I21" s="42" t="str">
        <x:v>仅验证本地隔离 SQLite 的退回意见展示、原方案恢复、局部修订及再次提交；未在生产 PostgreSQL 或线上环境验证。</x:v>
      </x:c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计入通过</x:v>
      </x:c>
    </x:row>
    <x:row r="22" ht="94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inlineStr">
        <x:is>
          <x:t xml:space="preserve">未验收</x:t>
        </x:is>
      </x:c>
      <x:c r="F22" s="42" t="n"/>
      <x:c r="G22" s="42" t="n"/>
      <x:c r="H22" s="56" t="n"/>
      <x:c r="I22" s="42" t="n"/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str">
        <x:v>通过</x:v>
      </x:c>
      <x:c r="F23" s="42" t="str">
        <x:v>本地 V2 隔离验收（6006/8012，临时 SQLite 副本，projectId=8）：项目从 dispatched 经负责人提交进入 pending_review，教练批准后状态为 active 且 is_active=true；operation_logs 记录负责人提交（ID 217）与教练批准（ID 218）。批准后工作推进表直接可见 2 条重点工作和 3 条关键任务，责任人、计划时间与标准均保留，无额外启动会门槛。</x:v>
      </x:c>
      <x:c r="G23" s="42" t="str">
        <x:v>Codex（本地 V2 隔离验收）</x:v>
      </x:c>
      <x:c r="H23" s="56" t="d">
        <x:v>2026-10-19T00:00:00.000Z</x:v>
      </x:c>
      <x:c r="I23" s="42" t="str">
        <x:v>同一隔离项目的多项方案、负责人/协助人、日期及标准对照另记录在 C01；生产环境仍按部署验收项检查。</x:v>
      </x:c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计入通过</x:v>
      </x:c>
    </x:row>
    <x:row r="24" ht="198" hidden="0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str">
        <x:v>通过</x:v>
      </x:c>
      <x:c r="F24" s="42" t="str">
        <x:v>隔离副本实测：本地 V2（6005/8011），临时 SQLite 副本先升级至迁移 y6z7a8b9c0d1。负责人 A 在项目 107 保存私有方案，PUT 返回 200，刷新后名称和目标恢复；同一负责人进入项目 108，GET /owner-plan-draft 返回 draft=null、界面为空；另一位项目 107 负责人登录后也返回 draft=null、界面为空。项目 106 中负责人保存草稿并刷新，字段恢复；企业教练读取私人草稿返回 403，界面不显示草稿。负责人正式提交返回 200，项目进入 pending_review，私人草稿清空，重点工作及关键任务写入正式记录；教练审核页面显示正式方案及任务/负责人，批准返回 200，项目变为 active。截图位于 outputs/acceptance-table-20261015/evidence/B12/。</x:v>
      </x:c>
      <x:c r="G24" s="42" t="str">
        <x:v>Codex（本地 V2 双角色 UI + 隔离 API/SQLite）</x:v>
      </x:c>
      <x:c r="H24" s="56" t="str">
        <x:v>2026-10-19</x:v>
      </x:c>
      <x:c r="I24" s="42" t="str">
        <x:v>仅本地 V2 双角色验收及临时 SQLite 副本；原库未写入。未验证生产 PostgreSQL、部署版本或线上环境。</x:v>
      </x:c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计入通过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str">
        <x:v>通过</x:v>
      </x:c>
      <x:c r="F25" s="42" t="str">
        <x:v>本地 V2 隔离验收（6006/8012，临时 SQLite 副本，projectId=8）：负责人提交、教练审批后，工作推进表与批准方案一致，共 2 条重点工作（ID 14、15）和 3 条关键任务（ID 51、52、53）。责任人、协助人（关键任务 51 的 C01 Helper）、计划日期及验收标准均保留；打开该任务详情可见协助人与标准，返回后项目和表格行保持。随后成员提交并由负责人确认一条进展汇报（submission_id=4）；汇报卡片 matched_subtask_id=51、parent_task_id=14、project_id=8，确认后 submission.related_task_id=14 且 subtask 51 的 source_submission_id=4。基线、详情与后续更新关联同一任务 ID，未生成重复任务。</x:v>
      </x:c>
      <x:c r="G25" s="42" t="str">
        <x:v>Codex（本地 V2 隔离验收）</x:v>
      </x:c>
      <x:c r="H25" s="56" t="d">
        <x:v>2026-10-19T00:00:00.000Z</x:v>
      </x:c>
      <x:c r="I25" s="42" t="str">
        <x:v>本项以结构化测试样例验证确认回写及 ID 关联；真实 AI 抽取质量仍按 D02 验收，生产环境按部署验收项检查。</x:v>
      </x:c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计入通过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180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str">
        <x:v>通过</x:v>
      </x:c>
      <x:c r="F31" s="42" t="str">
        <x:v>本地隔离 SQLite、合成项目“验收隔离项目-D05”验证，推进表临时添加 20 条滚动样例。选中“待确认日期”并滚到列表中段，打开“C07验收滚动行-14”详情：详情以覆盖侧栏显示，URL 仍为 /work/tasks?projectId=1，焦点进入详情对话框。关闭后焦点返回原任务行；筛选仍选中、重点工作分组仍展开，列表回到打开前可见范围（样例行08—20）。定向焦点测试 1/1 通过，npm run build 成功。仅覆盖本地隔离环境和合成数据，不代表生产权限验证或业务签收。</x:v>
      </x:c>
      <x:c r="G31" s="42" t="str">
        <x:v>Codex（隔离验收）</x:v>
      </x:c>
      <x:c r="H31" s="56" t="str">
        <x:v>2026-10-19</x:v>
      </x:c>
      <x:c r="I31" s="42" t="str">
        <x:v>由业务验收人结合真实项目数据和实际浏览器环境复核滚动、筛选及详情连续检查体验后签收；本地合成数据验证不代表生产验收。</x:v>
      </x:c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计入通过</x:v>
      </x:c>
    </x:row>
    <x:row r="32" ht="220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str">
        <x:v>通过</x:v>
      </x:c>
      <x:c r="F32" s="42" t="str">
        <x:v>目标 Edge 浏览器 + V2（6006）+ 隔离 SQLite。对关键任务 6 的风险保存启用定向故障：Edge 收到服务端失败提示，表单输入保留；移除触发器后在同一表单重试成功。随后显式确认解除，详情按钮恢复“标记风险”，重新打开列表无风险标记。数据库 risk_note 为空、4 条操作日志含前后值、合成触发器已删除。截图：C08-Edge-保存失败且输入保留.png、C08-Edge-移除故障后重试成功.png、C08-Edge-风险解除后列表.png。</x:v>
      </x:c>
      <x:c r="G32" s="42" t="str">
        <x:v>目标 Edge / 本地隔离验收</x:v>
      </x:c>
      <x:c r="H32" s="56" t="d">
        <x:v>2026-10-19T00:00:00.000Z</x:v>
      </x:c>
      <x:c r="I32" s="42" t="str">
        <x:v>本项通过，仅适用于隔离 SQLite 样例和当前代码版本；不代表线上 PostgreSQL 或其他验收项通过。</x:v>
      </x:c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计入通过</x:v>
      </x:c>
    </x:row>
    <x:row r="33" ht="200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str">
        <x:v>通过</x:v>
      </x:c>
      <x:c r="F33" s="42" t="str">
        <x:v>本地隔离 SQLite，按后端业务日期 2026-10-19 建立 6 条场景：10-18 未完成精确截止、10-19 当日截止、10-20 未来截止、10-18 已完成项、含过去日期但 due_kind=fuzzy 的模糊日期、无日期。V2 工作推进表显示延期指标 1；点选“延期”筛选后仅显示“C09-逾期未完成”，排除当日/未来/已完成/模糊/无日期项。另以父级重点工作已完成、旧子任务状态为空复现跨层不一致；后端 is_overdue 与前端标记均改为采用有效状态，结果不再误报。前端定向 11/11、后端相关用例 7/7 通过，npm run build 通过（存在既有 exceljs 大包警告）。合成记录已清理，仅本地验收。</x:v>
      </x:c>
      <x:c r="G33" s="42" t="str">
        <x:v>Codex（隔离浏览器验收）</x:v>
      </x:c>
      <x:c r="H33" s="56" t="str">
        <x:v>2026-10-19</x:v>
      </x:c>
      <x:c r="I33" s="42" t="str">
        <x:v>由业务验收人结合正式业务日期、真实任务数据复核延期口径后签收；本地隔离样例证明系统计算与筛选一致，不替代生产数据和业务签收。</x:v>
      </x:c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计入通过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str">
        <x:v>通过</x:v>
      </x:c>
      <x:c r="F34" s="42" t="str">
        <x:v>隔离 V2（6006）+ SQLite 验收副本。确认前：无汇报显示“尚未汇报”；待确认显示“暂无已确认进展”和审核状态，正文不泄漏。经 /api/confirmations/8/cards/0/confirm 实际单卡确认后刷新：列表正式摘要、确认人、日期、来源、下一步一致；详情相同，推进记录出现对应工作提交事件。截图：C10-确认前-列表.png、C10-确认后-列表.png、C10-确认后-详情与推进记录.png。</x:v>
      </x:c>
      <x:c r="G34" s="42" t="str">
        <x:v>本地 V2 隔离验收</x:v>
      </x:c>
      <x:c r="H34" s="56" t="d">
        <x:v>2026-10-19T00:00:00.000Z</x:v>
      </x:c>
      <x:c r="I34" s="42" t="str">
        <x:v>本项通过，仅适用于隔离 SQLite 样例和当前代码版本；不代表线上 PostgreSQL 或其他验收项通过。</x:v>
      </x:c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计入通过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str">
        <x:v>通过</x:v>
      </x:c>
      <x:c r="F37" s="42" t="str">
        <x:v>本地 V2 隔离验收（6006/8012，SQLite 副本；提取步骤使用确定性测试 fixture，不评价 AI 质量）：任务页入口自动带入项目 6、重点工作 12、关键任务 49，提交 ID 4；全局“指定项目”选择项目 6，卡片显示重点工作 12、关键任务 49，提交 ID 6（批次 2）。两条记录均进入历史提交并显示待确认，数据库 task_reports 绑定均为 project_id=6、parent_task_id=12、matched_subtask_id=49。项目选择器只展示该测试账号获授权的项目。</x:v>
      </x:c>
      <x:c r="G37" s="42" t="str">
        <x:v>Codex（本地 V2 隔离浏览器）</x:v>
      </x:c>
      <x:c r="H37" s="56" t="d">
        <x:v>2026-10-19T00:00:00.000Z</x:v>
      </x:c>
      <x:c r="I37" s="42" t="str">
        <x:v>真实 AI 提取质量另按 AI 验收项验证。本次 UI 账号仅获授权 D01 临时项目；跨项目拒绝与确认回写按各自验收项继续核验。</x:v>
      </x:c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计入通过</x:v>
      </x:c>
    </x:row>
    <x:row r="38" ht="180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str">
        <x:v>通过</x:v>
      </x:c>
      <x:c r="F38" s="42" t="str">
        <x:v>本地 V2（6006/8012）用合成汇报实际提取两次，接口均返回 200。首次结果可编辑；修改成果字段后清空预览，页面回到输入态。取消前后隔离库计数不变（汇报/问题/成果：5/2/1）。重新输入原文提取，识别完成、下一步、风险和成果，匹配项目 8 / 重点工作 15 / 子任务 53；提交生成汇报 ID 7，原文及结构化结果可追溯，状态待确认。提交后计数为 6/2/1。</x:v>
      </x:c>
      <x:c r="G38" s="42" t="str">
        <x:v>Codex 本地隔离验收：V2 前端 6006、后端 8012、SQLite 临时副本，合成文本；界面操作与 SQLite 只读核对。</x:v>
      </x:c>
      <x:c r="H38" s="56" t="str">
        <x:v>2026-10-19</x:v>
      </x:c>
      <x:c r="I38" s="42" t="str">
        <x:v>仅验证本地隔离 SQLite 的提取、取消、重提和提交待确认；未在生产 PostgreSQL 或线上环境验证，也未确认汇报 ID 7，因此不覆盖负责人确认后的工作推进表写入验收。</x:v>
      </x:c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计入通过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str">
        <x:v>通过</x:v>
      </x:c>
      <x:c r="F39" s="42" t="str">
        <x:v>本地 V2 隔离验收（6006/8012，临时 SQLite 副本，projectId=8）：成员提交 ID 6 后，负责人确认中心接口返回的待审列表含该 ID，状态为“待确认”。确认前关键任务 53 的 notes 为空、source_submission_id 为空；该汇报来源的问题数和成果数均为 0。此前已确认入库的汇报 ID 4 仍存在且状态未变。</x:v>
      </x:c>
      <x:c r="G39" s="42" t="str">
        <x:v>Codex（本地 V2 隔离 API 验收）</x:v>
      </x:c>
      <x:c r="H39" s="56" t="d">
        <x:v>2026-10-19T00:00:00.000Z</x:v>
      </x:c>
      <x:c r="I39" s="42" t="str">
        <x:v>使用结构化测试样例核对确认前隔离；真实 AI 抽取质量另按 D02 验收。</x:v>
      </x:c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计入通过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str">
        <x:v>通过</x:v>
      </x:c>
      <x:c r="F40" s="42" t="str">
        <x:v>同一隔离样例由负责人确认汇报 ID 6 后进入“已入库”。仅写入 1 条进展摘要；问题 ID 2、成果 ID 1 各 1 条，均为 project_id=8、task_id=15、subtask_id=53、source_submission_id=6，人员为提交人 C01 Member，确认人为 C01 Owner。汇报 related_task_id=15、关键任务 source_submission_id=6；重复确认返回 409，问题、成果及进展摘要数量未增加。</x:v>
      </x:c>
      <x:c r="G40" s="42" t="str">
        <x:v>Codex（本地 V2 隔离 API 验收）</x:v>
      </x:c>
      <x:c r="H40" s="56" t="d">
        <x:v>2026-10-19T00:00:00.000Z</x:v>
      </x:c>
      <x:c r="I40" s="42" t="str">
        <x:v>附件上传可用性由 E04 单独验收；真实 AI 抽取质量另按 D02 验收。</x:v>
      </x:c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计入通过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225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str">
        <x:v>通过</x:v>
      </x:c>
      <x:c r="F42" s="42" t="str">
        <x:v>沿用 2026-10-18 隔离环境实测记录：.txt 与超过 20 MB 的 .docx 均被拒绝并保留原输入；有效 .docx 解析 67 字。停用模型候选或停止后端时，页面提示提取失败、保留正文且不显示结构化卡片；保存草稿并刷新后正文恢复。纠正旧记录：此前“恢复后仍 502”是因为启动进程使用了与项目 .env 不匹配的加密密钥，失败发生在真实模型请求前。加载项目 .env 的密钥后，本地 V2 合成汇报实际调用 DeepSeek 两次均返回 HTTP 200，结构化结果成功；AI 预览不写入正式汇报、问题或成果。</x:v>
      </x:c>
      <x:c r="G42" s="42" t="str">
        <x:v>Codex 本地隔离验收：2026-10-18 上传与故障处理记录；2026-10-19 V2 前端 6006 / 后端 8012 / 临时 SQLite，合成文本，后端日志与只读数据库核对。</x:v>
      </x:c>
      <x:c r="H42" s="56" t="str">
        <x:v>2026-10-19</x:v>
      </x:c>
      <x:c r="I42" s="42" t="str">
        <x:v>仅证明本地隔离环境下文件拦截、失败提示/保留、草稿恢复及密钥配置正确后的真实提取成功；未在生产 PostgreSQL 或线上环境验证，也不代表模型服务持续可用。</x:v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计入通过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str">
        <x:v>通过</x:v>
      </x:c>
      <x:c r="F43" s="42" t="str">
        <x:v>本地隔离 SQLite、合成项目“验收隔离项目-D05”复核。成功链路：负责人在 V2 确认中心完成单卡确认后，工作推进表与任务详情“最新提交”显示同一内容；整页刷新后仍一致，数据库关联字段 update_submission.related_subtask_id=1、subtask.source_submission_id=5。失败链路：隔离 V2 后端停止时重新打开详情，页面明确显示“请求失败：500”和“重新加载”，未显示暂无数据。另新增刷新失败回归用例：先加载旧已确认进展，变更后刷新请求失败，旧摘要被隐藏并显示错误与重载入口。KeyTaskExecutionWorkspace.risk.test.tsx 4 项通过。验收仅覆盖本地隔离环境及合成数据，生产权限、生产数据和业务签收仍未验证。</x:v>
      </x:c>
      <x:c r="G43" s="42" t="str">
        <x:v>Codex（隔离验收）</x:v>
      </x:c>
      <x:c r="H43" s="56" t="str">
        <x:v>2026-10-19</x:v>
      </x:c>
      <x:c r="I43" s="42" t="str">
        <x:v>由业务验收人结合生产权限、真实项目数据和实际工作推进表使用情况复核并签收；本地隔离环境验证不代表生产验收。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计入通过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str">
        <x:v>通过</x:v>
      </x:c>
      <x:c r="F44" s="42" t="str">
        <x:v>本地 V2 隔离验收（6006/8012，临时 SQLite 副本）：隔离汇报人账号在 active 项目 8 成功提交正式汇报（记录 4、5、6）；同一账号对 dispatched 项目 9 提交被 HTTP 409 拒绝，数据库未新增任何汇报。状态矩阵另以真实 FastAPI 路由完成定向回归：单条与批量接口共 18 个状态用例通过，active 返回 200；draft、dispatched、pending_review、returned、pending_kickoff、pending_close、ended 返回 409；archived 返回 403，拒绝状态均未写入提交或批次记录。</x:v>
      </x:c>
      <x:c r="G44" s="42" t="str">
        <x:v>Codex（本地 V2 隔离账号与接口验收）</x:v>
      </x:c>
      <x:c r="H44" s="56" t="d">
        <x:v>2026-10-19T00:00:00.000Z</x:v>
      </x:c>
      <x:c r="I44" s="42" t="str">
        <x:v>本项通过依据为隔离环境真实登录 API 与本地 HTTP 路由状态矩阵；生产数据库和业务签收仍需单独完成。</x:v>
      </x:c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计入通过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inlineStr">
        <x:is>
          <x:t xml:space="preserve">未验收</x:t>
        </x:is>
      </x:c>
      <x:c r="F64" s="42" t="n"/>
      <x:c r="G64" s="42" t="n"/>
      <x:c r="H64" s="56" t="n"/>
      <x:c r="I64" s="42" t="n"/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cafee691534f30"/>
  </x:tableParts>
</x:worksheet>
</file>