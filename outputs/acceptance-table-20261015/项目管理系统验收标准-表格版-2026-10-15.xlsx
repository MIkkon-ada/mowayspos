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91c180771d47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d91c641d13324700"/>
    <x:sheet xmlns:r="http://schemas.openxmlformats.org/officeDocument/2006/relationships" name="验收清单" sheetId="2" r:id="R2966d73e4a244c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88bd96003f443a" /><Relationship Type="http://schemas.openxmlformats.org/officeDocument/2006/relationships/theme" Target="/xl/theme/theme1.xml" Id="R4bed773380f84948" /><Relationship Type="http://schemas.openxmlformats.org/officeDocument/2006/relationships/sharedStrings" Target="/xl/sharedStrings.xml" Id="R3925ee3612b149c9" /><Relationship Type="http://schemas.openxmlformats.org/officeDocument/2006/relationships/worksheet" Target="/xl/worksheets/sheet1.xml" Id="Rd91c641d13324700" /><Relationship Type="http://schemas.openxmlformats.org/officeDocument/2006/relationships/worksheet" Target="/xl/worksheets/sheet2.xml" Id="R2966d73e4a244c61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94f61f26cf4e1f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1</x:v>
      </x:c>
      <x:c r="E18" s="52" t="n">
        <x:f>COUNTIFS('验收清单'!$B$7:$B$66,$A18,'验收清单'!$E$7:$E$66,"未验收")</x:f>
        <x:v>11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8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0.08333333333333333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7</x:v>
      </x:c>
      <x:c r="E20" s="52" t="n">
        <x:f>COUNTIFS('验收清单'!$B$7:$B$66,$A20,'验收清单'!$E$7:$E$66,"未验收")</x:f>
        <x:v>1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1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0.875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17</x:v>
      </x:c>
      <x:c r="E25" s="54" t="n">
        <x:f>SUMIFS(E17:E24,$B$17:$B$24,"纳入")</x:f>
        <x:v>43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26</x:v>
      </x:c>
      <x:c r="K25" s="54" t="n">
        <x:f>SUMIFS(K17:K24,$B$17:$B$24,"纳入")</x:f>
        <x:v>0</x:v>
      </x:c>
      <x:c r="L25" s="55" t="n">
        <x:f>IF(C25=0,0,D25/C25)</x:f>
        <x:v>0.2833333333333333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副本，projectId=8）：负责人提交、教练审批后，工作推进表与批准方案一致，共 2 条重点工作（ID 14、15）和 3 条关键任务（ID 51、52、53）。责任人、协助人（关键任务 51 的 C01 Helper）、计划日期及验收标准均保留；打开该任务详情可见协助人与标准，返回后项目和表格行保持。随后成员提交并由负责人确认一条进展汇报（submission_id=4）；汇报卡片 matched_subtask_id=51、parent_task_id=14、project_id=8，确认后 submission.related_task_id=14 且 subtask 51 的 source_submission_id=4。基线、详情与后续更新关联同一任务 ID，未生成重复任务。</x:v>
      </x:c>
      <x:c r="G25" s="42" t="str">
        <x:v>Codex（本地 V2 隔离验收）</x:v>
      </x:c>
      <x:c r="H25" s="56" t="d">
        <x:v>2026-10-19T00:00:00.000Z</x:v>
      </x:c>
      <x:c r="I25" s="42" t="str">
        <x:v>本项以结构化测试样例验证确认回写及 ID 关联；真实 AI 抽取质量仍按 D02 验收，生产环境按部署验收项检查。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180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str">
        <x:v>通过</x:v>
      </x:c>
      <x:c r="F38" s="42" t="str">
        <x:v>本地 V2（6006/8012）用合成汇报实际提取两次，接口均返回 200。首次结果可编辑；修改成果字段后清空预览，页面回到输入态。取消前后隔离库计数不变（汇报/问题/成果：5/2/1）。重新输入原文提取，识别完成、下一步、风险和成果，匹配项目 8 / 重点工作 15 / 子任务 53；提交生成汇报 ID 7，原文及结构化结果可追溯，状态待确认。提交后计数为 6/2/1。</x:v>
      </x:c>
      <x:c r="G38" s="42" t="str">
        <x:v>Codex 本地隔离验收：V2 前端 6006、后端 8012、SQLite 临时副本，合成文本；界面操作与 SQLite 只读核对。</x:v>
      </x:c>
      <x:c r="H38" s="56" t="str">
        <x:v>2026-10-19</x:v>
      </x:c>
      <x:c r="I38" s="42" t="str">
        <x:v>仅验证本地隔离 SQLite 的提取、取消、重提和提交待确认；未在生产 PostgreSQL 或线上环境验证，也未确认汇报 ID 7，因此不覆盖负责人确认后的工作推进表写入验收。</x:v>
      </x:c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计入通过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str">
        <x:v>通过</x:v>
      </x:c>
      <x:c r="F39" s="42" t="str">
        <x:v>本地 V2 隔离验收（6006/8012，临时 SQLite 副本，projectId=8）：成员提交 ID 6 后，负责人确认中心接口返回的待审列表含该 ID，状态为“待确认”。确认前关键任务 53 的 notes 为空、source_submission_id 为空；该汇报来源的问题数和成果数均为 0。此前已确认入库的汇报 ID 4 仍存在且状态未变。</x:v>
      </x:c>
      <x:c r="G39" s="42" t="str">
        <x:v>Codex（本地 V2 隔离 API 验收）</x:v>
      </x:c>
      <x:c r="H39" s="56" t="d">
        <x:v>2026-10-19T00:00:00.000Z</x:v>
      </x:c>
      <x:c r="I39" s="42" t="str">
        <x:v>使用结构化测试样例核对确认前隔离；真实 AI 抽取质量另按 D02 验收。</x:v>
      </x:c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计入通过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str">
        <x:v>通过</x:v>
      </x:c>
      <x:c r="F40" s="42" t="str">
        <x:v>同一隔离样例由负责人确认汇报 ID 6 后进入“已入库”。仅写入 1 条进展摘要；问题 ID 2、成果 ID 1 各 1 条，均为 project_id=8、task_id=15、subtask_id=53、source_submission_id=6，人员为提交人 C01 Member，确认人为 C01 Owner。汇报 related_task_id=15、关键任务 source_submission_id=6；重复确认返回 409，问题、成果及进展摘要数量未增加。</x:v>
      </x:c>
      <x:c r="G40" s="42" t="str">
        <x:v>Codex（本地 V2 隔离 API 验收）</x:v>
      </x:c>
      <x:c r="H40" s="56" t="d">
        <x:v>2026-10-19T00:00:00.000Z</x:v>
      </x:c>
      <x:c r="I40" s="42" t="str">
        <x:v>附件上传可用性由 E04 单独验收；真实 AI 抽取质量另按 D02 验收。</x:v>
      </x:c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计入通过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str">
        <x:v>通过</x:v>
      </x:c>
      <x:c r="F44" s="42" t="str">
        <x:v>本地 V2 隔离验收（6006/8012，临时 SQLite 副本）：隔离汇报人账号在 active 项目 8 成功提交正式汇报（记录 4、5、6）；同一账号对 dispatched 项目 9 提交被 HTTP 409 拒绝，数据库未新增任何汇报。状态矩阵另以真实 FastAPI 路由完成定向回归：单条与批量接口共 18 个状态用例通过，active 返回 200；draft、dispatched、pending_review、returned、pending_kickoff、pending_close、ended 返回 409；archived 返回 403，拒绝状态均未写入提交或批次记录。</x:v>
      </x:c>
      <x:c r="G44" s="42" t="str">
        <x:v>Codex（本地 V2 隔离账号与接口验收）</x:v>
      </x:c>
      <x:c r="H44" s="56" t="d">
        <x:v>2026-10-19T00:00:00.000Z</x:v>
      </x:c>
      <x:c r="I44" s="42" t="str">
        <x:v>本项通过依据为隔离环境真实登录 API 与本地 HTTP 路由状态矩阵；生产数据库和业务签收仍需单独完成。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计入通过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94f61f26cf4e1f"/>
  </x:tableParts>
</x:worksheet>
</file>