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c36362cbe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总览" sheetId="1" r:id="R24d07a310902474a"/>
    <x:sheet xmlns:r="http://schemas.openxmlformats.org/officeDocument/2006/relationships" name="验收清单" sheetId="2" r:id="R2657c0fd4ffc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name val="Carlito"/>
    </x:font>
    <x:font>
      <x:sz val="11"/>
      <x:color rgb="FF23344A"/>
      <x:name val="Arial"/>
    </x:font>
    <x:font>
      <x:b/>
      <x:sz val="16"/>
      <x:color rgb="FF20334D"/>
      <x:name val="Arial"/>
    </x:font>
    <x:font>
      <x:sz val="11"/>
      <x:color rgb="FF65758B"/>
      <x:name val="Arial"/>
    </x:font>
    <x:font>
      <x:b/>
      <x:sz val="11"/>
      <x:color rgb="FF20334D"/>
      <x:name val="Arial"/>
    </x:font>
    <x:font>
      <x:b/>
      <x:sz val="11"/>
      <x:color rgb="FFFFFFFF"/>
      <x:name val="Arial"/>
    </x:font>
    <x:font>
      <x:b/>
      <x:sz val="11"/>
      <x:color rgb="FF2334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CF"/>
      </x:patternFill>
    </x:fill>
    <x:fill>
      <x:patternFill patternType="solid">
        <x:fgColor rgb="FF20334D"/>
      </x:patternFill>
    </x:fill>
    <x:fill>
      <x:patternFill patternType="solid">
        <x:fgColor rgb="FFE8EDF4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0334D"/>
      </x:bottom>
      <x:diagonal/>
    </x:border>
    <x:border>
      <x:left/>
      <x:right/>
      <x:top/>
      <x:bottom style="thin">
        <x:color rgb="FFDCE3EC"/>
      </x:bottom>
      <x:diagonal/>
    </x:border>
    <x:border>
      <x:left/>
      <x:right/>
      <x:top style="thin">
        <x:color rgb="FFDCE3EC"/>
      </x:top>
      <x:bottom style="thin">
        <x:color rgb="FFDCE3EC"/>
      </x:bottom>
      <x:diagonal/>
    </x:border>
    <x:border>
      <x:left/>
      <x:right/>
      <x:top style="thin">
        <x:color rgb="FFDCE3EC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1" fillId="0" borderId="1" xfId="0" applyAlignment="1">
      <x:alignment vertical="center"/>
    </x:xf>
    <x:xf numFmtId="0" fontId="3" fillId="0" borderId="0" xfId="0" applyAlignment="1">
      <x:alignment vertical="center"/>
    </x:xf>
    <x:xf numFmtId="0" fontId="1" fillId="2" borderId="0" xfId="0" applyAlignment="1">
      <x:alignment vertical="center"/>
    </x:xf>
    <x:xf numFmtId="164" fontId="1" fillId="2" borderId="0" xfId="0" applyAlignment="1">
      <x:alignment vertical="center"/>
    </x:xf>
    <x:xf numFmtId="0" fontId="4" fillId="0" borderId="0" xfId="0" applyAlignment="1">
      <x:alignment vertical="center"/>
    </x:xf>
    <x:xf numFmtId="0" fontId="1" fillId="2" borderId="0" xfId="0" applyAlignment="1">
      <x:alignment vertical="center" wrapText="1"/>
    </x:xf>
    <x:xf numFmtId="164" fontId="1" fillId="2" borderId="0" xfId="0" applyAlignment="1">
      <x:alignment vertical="center" wrapText="1"/>
    </x:xf>
    <x:xf numFmtId="9" fontId="1" fillId="0" borderId="0" xfId="0" applyAlignment="1">
      <x:alignment vertical="center"/>
    </x:xf>
    <x:xf numFmtId="1" fontId="1" fillId="0" borderId="0" xfId="0" applyAlignment="1">
      <x:alignment vertical="center"/>
    </x:xf>
    <x:xf numFmtId="0" fontId="1" fillId="3" borderId="0" xfId="0" applyAlignment="1">
      <x:alignment vertical="center"/>
    </x:xf>
    <x:xf numFmtId="0" fontId="5" fillId="3" borderId="0" xfId="0" applyAlignment="1">
      <x:alignment vertical="center"/>
    </x:xf>
    <x:xf numFmtId="0" fontId="5" fillId="3" borderId="0" xfId="0" applyAlignment="1">
      <x:alignment horizontal="center" vertical="center"/>
    </x:xf>
    <x:xf numFmtId="0" fontId="1" fillId="4" borderId="0" xfId="0" applyAlignment="1">
      <x:alignment vertical="center"/>
    </x:xf>
    <x:xf numFmtId="1" fontId="1" fillId="4" borderId="0" xfId="0" applyAlignment="1">
      <x:alignment vertical="center"/>
    </x:xf>
    <x:xf numFmtId="9" fontId="1" fillId="4" borderId="0" xfId="0" applyAlignment="1">
      <x:alignment vertical="center"/>
    </x:xf>
    <x:xf numFmtId="0" fontId="6" fillId="4" borderId="0" xfId="0" applyAlignment="1">
      <x:alignment vertical="center"/>
    </x:xf>
    <x:xf numFmtId="1" fontId="6" fillId="4" borderId="0" xfId="0" applyAlignment="1">
      <x:alignment vertical="center"/>
    </x:xf>
    <x:xf numFmtId="9" fontId="6" fillId="4" borderId="0" xfId="0" applyAlignment="1">
      <x:alignment vertical="center"/>
    </x:xf>
    <x:xf numFmtId="1" fontId="1" fillId="0" borderId="0" xfId="0" applyAlignment="1">
      <x:alignment horizontal="right" vertical="center"/>
    </x:xf>
    <x:xf numFmtId="9" fontId="1" fillId="0" borderId="0" xfId="0" applyAlignment="1">
      <x:alignment horizontal="right" vertical="center"/>
    </x:xf>
    <x:xf numFmtId="1" fontId="6" fillId="4" borderId="0" xfId="0" applyAlignment="1">
      <x:alignment horizontal="right" vertical="center"/>
    </x:xf>
    <x:xf numFmtId="9" fontId="6" fillId="4" borderId="0" xfId="0" applyAlignment="1">
      <x:alignment horizontal="right" vertical="center"/>
    </x:xf>
    <x:xf numFmtId="0" fontId="1" fillId="0" borderId="2" xfId="0" applyAlignment="1">
      <x:alignment vertical="center"/>
    </x:xf>
    <x:xf numFmtId="0" fontId="1" fillId="2" borderId="2" xfId="0" applyAlignment="1">
      <x:alignment vertical="center"/>
    </x:xf>
    <x:xf numFmtId="1" fontId="1" fillId="0" borderId="2" xfId="0" applyAlignment="1">
      <x:alignment horizontal="right" vertical="center"/>
    </x:xf>
    <x:xf numFmtId="9" fontId="1" fillId="0" borderId="2" xfId="0" applyAlignment="1">
      <x:alignment horizontal="right" vertical="center"/>
    </x:xf>
    <x:xf numFmtId="0" fontId="1" fillId="0" borderId="3" xfId="0" applyAlignment="1">
      <x:alignment vertical="center"/>
    </x:xf>
    <x:xf numFmtId="0" fontId="1" fillId="2" borderId="3" xfId="0" applyAlignment="1">
      <x:alignment vertical="center"/>
    </x:xf>
    <x:xf numFmtId="1" fontId="1" fillId="0" borderId="3" xfId="0" applyAlignment="1">
      <x:alignment horizontal="right" vertical="center"/>
    </x:xf>
    <x:xf numFmtId="9" fontId="1" fillId="0" borderId="3" xfId="0" applyAlignment="1">
      <x:alignment horizontal="right" vertical="center"/>
    </x:xf>
    <x:xf numFmtId="0" fontId="6" fillId="4" borderId="4" xfId="0" applyAlignment="1">
      <x:alignment vertical="center"/>
    </x:xf>
    <x:xf numFmtId="1" fontId="6" fillId="4" borderId="4" xfId="0" applyAlignment="1">
      <x:alignment horizontal="right" vertical="center"/>
    </x:xf>
    <x:xf numFmtId="9" fontId="6" fillId="4" borderId="4" xfId="0" applyAlignment="1">
      <x:alignment horizontal="right" vertical="center"/>
    </x:xf>
    <x:xf numFmtId="0" fontId="2" fillId="0" borderId="0" xfId="0"/>
    <x:xf numFmtId="0" fontId="3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5" borderId="0" xfId="0" applyAlignment="1">
      <x:alignment vertical="top" wrapText="1"/>
    </x:xf>
    <x:xf numFmtId="0" fontId="1" fillId="2" borderId="0" xfId="0" applyAlignment="1">
      <x:alignment vertical="top" wrapText="1"/>
    </x:xf>
    <x:xf numFmtId="164" fontId="1" fillId="2" borderId="0" xfId="0" applyAlignment="1">
      <x:alignment vertical="top" wrapText="1"/>
    </x:xf>
    <x:xf numFmtId="0" fontId="1" fillId="3" borderId="0" xfId="0"/>
    <x:xf numFmtId="0" fontId="5" fillId="3" borderId="0" xfId="0"/>
    <x:xf numFmtId="0" fontId="5" fillId="3" borderId="0" xfId="0" applyAlignment="1">
      <x:alignment wrapText="1"/>
    </x:xf>
    <x:xf numFmtId="0" fontId="5" fillId="3" borderId="0" xfId="0" applyAlignment="1">
      <x:alignment horizontal="center" wrapText="1"/>
    </x:xf>
    <x:xf numFmtId="0" fontId="5" fillId="3" borderId="0" xfId="0" applyAlignment="1">
      <x:alignment horizontal="center" vertical="center" wrapText="1"/>
    </x:xf>
    <x:xf numFmtId="164" fontId="1" fillId="2" borderId="0" xfId="0" applyAlignment="1">
      <x:alignment vertical="center" wrapText="1"/>
    </x:xf>
    <x:xf numFmtId="1" fontId="1" fillId="0" borderId="2" xfId="0" applyAlignment="1">
      <x:alignment horizontal="right" vertical="center"/>
    </x:xf>
    <x:xf numFmtId="9" fontId="1" fillId="0" borderId="2" xfId="0" applyAlignment="1">
      <x:alignment horizontal="right" vertical="center"/>
    </x:xf>
    <x:xf numFmtId="1" fontId="1" fillId="0" borderId="3" xfId="0" applyAlignment="1">
      <x:alignment horizontal="right" vertical="center"/>
    </x:xf>
    <x:xf numFmtId="9" fontId="1" fillId="0" borderId="3" xfId="0" applyAlignment="1">
      <x:alignment horizontal="right" vertical="center"/>
    </x:xf>
    <x:xf numFmtId="1" fontId="6" fillId="4" borderId="4" xfId="0" applyAlignment="1">
      <x:alignment horizontal="right" vertical="center"/>
    </x:xf>
    <x:xf numFmtId="9" fontId="6" fillId="4" borderId="4" xfId="0" applyAlignment="1">
      <x:alignment horizontal="right" vertical="center"/>
    </x:xf>
    <x:xf numFmtId="164" fontId="1" fillId="2" borderId="0" xfId="0" applyAlignment="1">
      <x:alignment vertical="top" wrapText="1"/>
    </x:xf>
  </x:cellXfs>
  <x:cellStyles count="1">
    <x:cellStyle name="Normal" xfId="0"/>
  </x:cellStyles>
  <x:dxfs count="8">
    <x:dxf>
      <x:font>
        <x:b/>
        <x:color rgb="FF9C2525"/>
      </x:font>
      <x:fill>
        <x:patternFill>
          <x:bgColor rgb="FFFDE8E8"/>
        </x:patternFill>
      </x:fill>
    </x:dxf>
    <x:dxf>
      <x:font>
        <x:b/>
        <x:color rgb="FF995713"/>
      </x:font>
      <x:fill>
        <x:patternFill>
          <x:bgColor rgb="FFFFF0DB"/>
        </x:patternFill>
      </x:fill>
    </x:dxf>
    <x:dxf>
      <x:font>
        <x:b/>
        <x:color rgb="FF17664C"/>
      </x:font>
      <x:fill>
        <x:patternFill>
          <x:bgColor rgb="FFE4F3EC"/>
        </x:patternFill>
      </x:fill>
    </x:dxf>
    <x:dxf>
      <x:font>
        <x:b/>
        <x:color rgb="FF995713"/>
      </x:font>
      <x:fill>
        <x:patternFill>
          <x:bgColor rgb="FFFFF0DB"/>
        </x:patternFill>
      </x:fill>
    </x:dxf>
    <x:dxf>
      <x:font>
        <x:color rgb="FF9C2525"/>
      </x:font>
      <x:fill>
        <x:patternFill>
          <x:bgColor rgb="FFFDE8E8"/>
        </x:patternFill>
      </x:fill>
    </x:dxf>
    <x:dxf>
      <x:font>
        <x:b/>
        <x:color rgb="FF9C2525"/>
      </x:font>
    </x:dxf>
    <x:dxf>
      <x:font>
        <x:b/>
        <x:color rgb="FF9C2525"/>
      </x:font>
    </x:dxf>
    <x:dxf>
      <x:font>
        <x:b/>
        <x:color rgb="FF9C2525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8d97171cc4d26" /><Relationship Type="http://schemas.openxmlformats.org/officeDocument/2006/relationships/theme" Target="/xl/theme/theme1.xml" Id="Rda961e9e5ecd4859" /><Relationship Type="http://schemas.openxmlformats.org/officeDocument/2006/relationships/sharedStrings" Target="/xl/sharedStrings.xml" Id="R0c412d8f6dff49a6" /><Relationship Type="http://schemas.openxmlformats.org/officeDocument/2006/relationships/worksheet" Target="/xl/worksheets/sheet1.xml" Id="R24d07a310902474a" /><Relationship Type="http://schemas.openxmlformats.org/officeDocument/2006/relationships/worksheet" Target="/xl/worksheets/sheet2.xml" Id="R2657c0fd4ffc4bdb" /></Relationships>
</file>

<file path=xl/tables/table1.xml><?xml version="1.0" encoding="utf-8"?>
<x:table xmlns:x="http://schemas.openxmlformats.org/spreadsheetml/2006/main" id="1" name="AcceptanceRegister" displayName="AcceptanceRegister" ref="A6:R66" headerRowCount="1" totalsRowCount="0" totalsRowShown="0">
  <x:autoFilter ref="A6:R66"/>
  <x:tableColumns count="18">
    <x:tableColumn id="1" name="编号"/>
    <x:tableColumn id="2" name="模块"/>
    <x:tableColumn id="3" name="优先级"/>
    <x:tableColumn id="4" name="验收事项"/>
    <x:tableColumn id="5" name="本次结果"/>
    <x:tableColumn id="6" name="实际结果与证据"/>
    <x:tableColumn id="7" name="执行人"/>
    <x:tableColumn id="8" name="验收日期"/>
    <x:tableColumn id="9" name="整改与复测跟进"/>
    <x:tableColumn id="10" name="执行角色"/>
    <x:tableColumn id="11" name="准备条件"/>
    <x:tableColumn id="12" name="操作步骤"/>
    <x:tableColumn id="13" name="通过条件"/>
    <x:tableColumn id="14" name="证据要求"/>
    <x:tableColumn id="15" name="历史标识"/>
    <x:tableColumn id="16" name="标准类型"/>
    <x:tableColumn id="17" name="依据"/>
    <x:tableColumn id="18" name="证据判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d48e8656c84491" /></Relationships>
</file>

<file path=xl/worksheets/sheet1.xml><?xml version="1.0" encoding="utf-8"?>
<x:worksheet xmlns:x="http://schemas.openxmlformats.org/spreadsheetml/2006/main">
  <x:sheetPr>
    <x:tabColor rgb="FF20334D"/>
  </x:sheetPr>
  <x:sheetViews>
    <x:sheetView showGridLines="0" workbookViewId="0"/>
  </x:sheetViews>
  <x:sheetFormatPr baseColWidth="8" defaultRowHeight="15"/>
  <x:cols>
    <x:col min="1" max="1" width="26" customWidth="1"/>
    <x:col min="2" max="2" width="26" customWidth="1"/>
    <x:col min="3" max="3" width="13" customWidth="1"/>
    <x:col min="4" max="4" width="13" customWidth="1"/>
    <x:col min="5" max="5" width="13" customWidth="1"/>
    <x:col min="6" max="6" width="13" customWidth="1"/>
    <x:col min="7" max="7" width="14" customWidth="1"/>
    <x:col min="8" max="8" width="14" customWidth="1"/>
    <x:col min="9" max="9" width="14" customWidth="1"/>
    <x:col min="10" max="10" width="15" customWidth="1"/>
    <x:col min="11" max="11" width="14" customWidth="1"/>
    <x:col min="12" max="12" width="15" customWidth="1"/>
  </x:cols>
  <x:sheetData>
    <x:row r="1" ht="25" customHeight="1">
      <x:c r="A1" s="2" t="n"/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 ht="25" customHeight="1">
      <x:c r="A2" s="3" t="inlineStr">
        <x:is>
          <x:t xml:space="preserve">项目管理系统验收标准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 ht="25" customHeight="1">
      <x:c r="A3" s="4" t="n"/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</x:row>
    <x:row r="4" ht="25" customHeight="1">
      <x:c r="A4" s="5" t="inlineStr">
        <x:is>
          <x:t xml:space="preserve">标准日期：2026-10-15。先在清单中填写本次结果与证据，再查看本页汇总。</x:t>
        </x:is>
      </x:c>
      <x:c r="B4" s="2" t="n"/>
      <x:c r="C4" s="2" t="n"/>
      <x:c r="D4" s="2" t="n"/>
      <x:c r="E4" s="2" t="n"/>
      <x:c r="F4" s="2" t="n"/>
      <x:c r="G4" s="2" t="n"/>
      <x:c r="H4" s="2" t="n"/>
      <x:c r="I4" s="2" t="n"/>
      <x:c r="J4" s="2" t="n"/>
      <x:c r="K4" s="2" t="n"/>
      <x:c r="L4" s="2" t="n"/>
    </x:row>
    <x:row r="5" ht="25" customHeight="1">
      <x:c r="A5" s="2" t="n"/>
      <x:c r="B5" s="2" t="n"/>
      <x:c r="C5" s="2" t="n"/>
      <x:c r="D5" s="2" t="n"/>
      <x:c r="E5" s="2" t="n"/>
      <x:c r="F5" s="2" t="n"/>
      <x:c r="G5" s="2" t="n"/>
      <x:c r="H5" s="2" t="n"/>
      <x:c r="I5" s="2" t="n"/>
      <x:c r="J5" s="2" t="n"/>
      <x:c r="K5" s="2" t="n"/>
      <x:c r="L5" s="2" t="n"/>
    </x:row>
    <x:row r="6" ht="32" customHeight="1">
      <x:c r="A6" s="2" t="inlineStr">
        <x:is>
          <x:t xml:space="preserve">验收批次 / 项目</x:t>
        </x:is>
      </x:c>
      <x:c r="B6" s="9" t="n"/>
      <x:c r="C6" s="2" t="n"/>
      <x:c r="D6" s="8" t="inlineStr">
        <x:is>
          <x:t xml:space="preserve">填写说明</x:t>
        </x:is>
      </x:c>
      <x:c r="E6" s="2" t="n"/>
      <x:c r="F6" s="2" t="n"/>
      <x:c r="G6" s="2" t="n"/>
      <x:c r="H6" s="2" t="n"/>
      <x:c r="I6" s="2" t="n"/>
      <x:c r="J6" s="2" t="n"/>
      <x:c r="K6" s="2" t="n"/>
      <x:c r="L6" s="2" t="n"/>
    </x:row>
    <x:row r="7" ht="32" customHeight="1">
      <x:c r="A7" s="2" t="inlineStr">
        <x:is>
          <x:t xml:space="preserve">环境 / 地址</x:t>
        </x:is>
      </x:c>
      <x:c r="B7" s="9" t="n"/>
      <x:c r="C7" s="2" t="n"/>
      <x:c r="D7" s="2" t="inlineStr">
        <x:is>
          <x:t xml:space="preserve">黄色区域为填写项。清单中可筛选模块、优先级、结果与历史标识。</x:t>
        </x:is>
      </x:c>
      <x:c r="E7" s="2" t="n"/>
      <x:c r="F7" s="2" t="n"/>
      <x:c r="G7" s="2" t="n"/>
      <x:c r="H7" s="2" t="n"/>
      <x:c r="I7" s="2" t="n"/>
      <x:c r="J7" s="2" t="n"/>
      <x:c r="K7" s="2" t="n"/>
      <x:c r="L7" s="2" t="n"/>
    </x:row>
    <x:row r="8" ht="32" customHeight="1">
      <x:c r="A8" s="2" t="inlineStr">
        <x:is>
          <x:t xml:space="preserve">版本 / 快照标识</x:t>
        </x:is>
      </x:c>
      <x:c r="B8" s="9" t="n"/>
      <x:c r="C8" s="2" t="n"/>
      <x:c r="D8" s="2" t="inlineStr">
        <x:is>
          <x:t xml:space="preserve">填写截图、日志或录像位置及对象 ID；仅选择“通过”不会计入有效通过。</x:t>
        </x:is>
      </x:c>
      <x:c r="E8" s="2" t="n"/>
      <x:c r="F8" s="2" t="n"/>
      <x:c r="G8" s="2" t="n"/>
      <x:c r="H8" s="2" t="n"/>
      <x:c r="I8" s="2" t="n"/>
      <x:c r="J8" s="2" t="n"/>
      <x:c r="K8" s="2" t="n"/>
      <x:c r="L8" s="2" t="n"/>
    </x:row>
    <x:row r="9" ht="32" customHeight="1">
      <x:c r="A9" s="2" t="inlineStr">
        <x:is>
          <x:t xml:space="preserve">验收负责人</x:t>
        </x:is>
      </x:c>
      <x:c r="B9" s="9" t="n"/>
      <x:c r="C9" s="2" t="n"/>
      <x:c r="D9" s="2" t="inlineStr">
        <x:is>
          <x:t xml:space="preserve">本批范围在下方选择。筛选清单不会改变汇总范围。</x:t>
        </x:is>
      </x:c>
      <x:c r="E9" s="2" t="n"/>
      <x:c r="F9" s="2" t="n"/>
      <x:c r="G9" s="2" t="n"/>
      <x:c r="H9" s="2" t="n"/>
      <x:c r="I9" s="2" t="n"/>
      <x:c r="J9" s="2" t="n"/>
      <x:c r="K9" s="2" t="n"/>
      <x:c r="L9" s="2" t="n"/>
    </x:row>
    <x:row r="10" ht="32" customHeight="1">
      <x:c r="A10" s="2" t="inlineStr">
        <x:is>
          <x:t xml:space="preserve">验收日期</x:t>
        </x:is>
      </x:c>
      <x:c r="B10" s="49" t="n"/>
      <x:c r="C10" s="2" t="n"/>
      <x:c r="D10" s="2" t="inlineStr">
        <x:is>
          <x:t xml:space="preserve">历史有记录仅表示既往局部验证，本次全部从“未验收”开始。</x:t>
        </x:is>
      </x:c>
      <x:c r="E10" s="2" t="n"/>
      <x:c r="F10" s="2" t="n"/>
      <x:c r="G10" s="2" t="n"/>
      <x:c r="H10" s="2" t="n"/>
      <x:c r="I10" s="2" t="n"/>
      <x:c r="J10" s="2" t="n"/>
      <x:c r="K10" s="2" t="n"/>
      <x:c r="L10" s="2" t="n"/>
    </x:row>
    <x:row r="11" ht="32" customHeight="1">
      <x:c r="A11" s="2" t="inlineStr">
        <x:is>
          <x:t xml:space="preserve">角色账号 / 样例 ID</x:t>
        </x:is>
      </x:c>
      <x:c r="B11" s="9" t="n"/>
      <x:c r="C11" s="2" t="n"/>
      <x:c r="D11" s="2" t="inlineStr">
        <x:is>
          <x:t xml:space="preserve">账号记录人员标识即可，勿填写密码。长版本标识可在单元格内换行。</x:t>
        </x:is>
      </x:c>
      <x:c r="E11" s="2" t="n"/>
      <x:c r="F11" s="2" t="n"/>
      <x:c r="G11" s="2" t="n"/>
      <x:c r="H11" s="2" t="n"/>
      <x:c r="I11" s="2" t="n"/>
      <x:c r="J11" s="2" t="n"/>
      <x:c r="K11" s="2" t="n"/>
      <x:c r="L11" s="2" t="n"/>
    </x:row>
    <x:row r="12" ht="25" customHeight="1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  <x:c r="J12" s="2" t="n"/>
      <x:c r="K12" s="2" t="n"/>
      <x:c r="L12" s="2" t="n"/>
    </x:row>
    <x:row r="13" ht="25" customHeight="1">
      <x:c r="A13" s="8" t="inlineStr">
        <x:is>
          <x:t xml:space="preserve">本批验收判定</x:t>
        </x:is>
      </x:c>
      <x:c r="B13" s="8" t="str">
        <x:f>IF(C25=0,"请选择验收范围",IF(K25&gt;0,"不通过：P0 阻断",IF(F25&gt;0,"待整改",IF(G25&gt;0,"待解除阻塞",IF(D25=C25,IF(OR(LEN(TRIM(B6))=0,LEN(TRIM(B7))=0,LEN(TRIM(B8))=0,LEN(TRIM(B9))=0,NOT(ISNUMBER(B10))),"条目通过，待补批次信息","具备本批签收条件"),"验收进行中")))))</x:f>
        <x:v>验收进行中</x:v>
      </x:c>
      <x:c r="C13" s="2" t="n"/>
      <x:c r="D13" s="2" t="n"/>
      <x:c r="E13" s="2" t="n"/>
      <x:c r="F13" s="2" t="n"/>
      <x:c r="G13" s="2" t="n"/>
      <x:c r="H13" s="2" t="n"/>
      <x:c r="I13" s="2" t="n"/>
      <x:c r="J13" s="2" t="n"/>
      <x:c r="K13" s="2" t="n"/>
      <x:c r="L13" s="2" t="n"/>
    </x:row>
    <x:row r="14" ht="25" customHeight="1">
      <x:c r="A14" s="5" t="inlineStr">
        <x:is>
          <x:t xml:space="preserve">仅适用于本批纳入范围、环境与版本；具备条件后由验收负责人确认签收。</x:t>
        </x:is>
      </x:c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n"/>
      <x:c r="K14" s="2" t="n"/>
      <x:c r="L14" s="2" t="n"/>
    </x:row>
    <x:row r="15" ht="25" customHeight="1">
      <x:c r="A15" s="2" t="n"/>
      <x:c r="B15" s="2" t="n"/>
      <x:c r="C15" s="2" t="n"/>
      <x:c r="D15" s="2" t="n"/>
      <x:c r="E15" s="2" t="n"/>
      <x:c r="F15" s="2" t="n"/>
      <x:c r="G15" s="2" t="n"/>
      <x:c r="H15" s="2" t="n"/>
      <x:c r="I15" s="2" t="n"/>
      <x:c r="J15" s="2" t="n"/>
      <x:c r="K15" s="2" t="n"/>
      <x:c r="L15" s="2" t="n"/>
    </x:row>
    <x:row r="16" ht="34" customHeight="1">
      <x:c r="A16" s="15" t="inlineStr">
        <x:is>
          <x:t xml:space="preserve">验收模块</x:t>
        </x:is>
      </x:c>
      <x:c r="B16" s="15" t="inlineStr">
        <x:is>
          <x:t xml:space="preserve">本批范围</x:t>
        </x:is>
      </x:c>
      <x:c r="C16" s="15" t="inlineStr">
        <x:is>
          <x:t xml:space="preserve">条目数</x:t>
        </x:is>
      </x:c>
      <x:c r="D16" s="15" t="inlineStr">
        <x:is>
          <x:t xml:space="preserve">有效通过</x:t>
        </x:is>
      </x:c>
      <x:c r="E16" s="15" t="inlineStr">
        <x:is>
          <x:t xml:space="preserve">未验收</x:t>
        </x:is>
      </x:c>
      <x:c r="F16" s="15" t="inlineStr">
        <x:is>
          <x:t xml:space="preserve">不通过</x:t>
        </x:is>
      </x:c>
      <x:c r="G16" s="15" t="inlineStr">
        <x:is>
          <x:t xml:space="preserve">阻塞</x:t>
        </x:is>
      </x:c>
      <x:c r="H16" s="15" t="inlineStr">
        <x:is>
          <x:t xml:space="preserve">通过缺证据</x:t>
        </x:is>
      </x:c>
      <x:c r="I16" s="15" t="inlineStr">
        <x:is>
          <x:t xml:space="preserve">P0 总数</x:t>
        </x:is>
      </x:c>
      <x:c r="J16" s="15" t="inlineStr">
        <x:is>
          <x:t xml:space="preserve">P0 未完成</x:t>
        </x:is>
      </x:c>
      <x:c r="K16" s="15" t="inlineStr">
        <x:is>
          <x:t xml:space="preserve">P0 阻断</x:t>
        </x:is>
      </x:c>
      <x:c r="L16" s="15" t="inlineStr">
        <x:is>
          <x:t xml:space="preserve">有效通过率</x:t>
        </x:is>
      </x:c>
    </x:row>
    <x:row r="17" ht="25" customHeight="1">
      <x:c r="A17" s="26" t="inlineStr">
        <x:is>
          <x:t xml:space="preserve">身份与权限</x:t>
        </x:is>
      </x:c>
      <x:c r="B17" s="27" t="inlineStr">
        <x:is>
          <x:t xml:space="preserve">纳入</x:t>
        </x:is>
      </x:c>
      <x:c r="C17" s="50" t="n">
        <x:f>COUNTIFS('验收清单'!$B$7:$B$66,$A17)</x:f>
        <x:v>6</x:v>
      </x:c>
      <x:c r="D17" s="50" t="n">
        <x:f>COUNTIFS('验收清单'!$B$7:$B$66,$A17,'验收清单'!$R$7:$R$66,"计入通过")</x:f>
        <x:v>0</x:v>
      </x:c>
      <x:c r="E17" s="50" t="n">
        <x:f>COUNTIFS('验收清单'!$B$7:$B$66,$A17,'验收清单'!$E$7:$E$66,"未验收")</x:f>
        <x:v>6</x:v>
      </x:c>
      <x:c r="F17" s="50" t="n">
        <x:f>COUNTIFS('验收清单'!$B$7:$B$66,$A17,'验收清单'!$E$7:$E$66,"不通过")</x:f>
        <x:v>0</x:v>
      </x:c>
      <x:c r="G17" s="50" t="n">
        <x:f>COUNTIFS('验收清单'!$B$7:$B$66,$A17,'验收清单'!$E$7:$E$66,"阻塞")</x:f>
        <x:v>0</x:v>
      </x:c>
      <x:c r="H17" s="50" t="n">
        <x:f>COUNTIFS('验收清单'!$B$7:$B$66,$A17,'验收清单'!$R$7:$R$66,"待补证据")</x:f>
        <x:v>0</x:v>
      </x:c>
      <x:c r="I17" s="50" t="n">
        <x:f>COUNTIFS('验收清单'!$B$7:$B$66,$A17,'验收清单'!$C$7:$C$66,"P0")</x:f>
        <x:v>6</x:v>
      </x:c>
      <x:c r="J17" s="50" t="n">
        <x:f>I17-COUNTIFS('验收清单'!$B$7:$B$66,$A17,'验收清单'!$C$7:$C$66,"P0",'验收清单'!$R$7:$R$66,"计入通过")</x:f>
        <x:v>6</x:v>
      </x:c>
      <x:c r="K17" s="50" t="n">
        <x:f>COUNTIFS('验收清单'!$B$7:$B$66,$A17,'验收清单'!$C$7:$C$66,"P0",'验收清单'!$E$7:$E$66,"不通过")+COUNTIFS('验收清单'!$B$7:$B$66,$A17,'验收清单'!$C$7:$C$66,"P0",'验收清单'!$E$7:$E$66,"阻塞")</x:f>
        <x:v>0</x:v>
      </x:c>
      <x:c r="L17" s="51" t="n">
        <x:f>IF(C17=0,0,D17/C17)</x:f>
        <x:v>0</x:v>
      </x:c>
    </x:row>
    <x:row r="18" ht="25" customHeight="1">
      <x:c r="A18" s="30" t="inlineStr">
        <x:is>
          <x:t xml:space="preserve">立项与审核</x:t>
        </x:is>
      </x:c>
      <x:c r="B18" s="31" t="inlineStr">
        <x:is>
          <x:t xml:space="preserve">纳入</x:t>
        </x:is>
      </x:c>
      <x:c r="C18" s="52" t="n">
        <x:f>COUNTIFS('验收清单'!$B$7:$B$66,$A18)</x:f>
        <x:v>12</x:v>
      </x:c>
      <x:c r="D18" s="52" t="n">
        <x:f>COUNTIFS('验收清单'!$B$7:$B$66,$A18,'验收清单'!$R$7:$R$66,"计入通过")</x:f>
        <x:v>0</x:v>
      </x:c>
      <x:c r="E18" s="52" t="n">
        <x:f>COUNTIFS('验收清单'!$B$7:$B$66,$A18,'验收清单'!$E$7:$E$66,"未验收")</x:f>
        <x:v>12</x:v>
      </x:c>
      <x:c r="F18" s="52" t="n">
        <x:f>COUNTIFS('验收清单'!$B$7:$B$66,$A18,'验收清单'!$E$7:$E$66,"不通过")</x:f>
        <x:v>0</x:v>
      </x:c>
      <x:c r="G18" s="52" t="n">
        <x:f>COUNTIFS('验收清单'!$B$7:$B$66,$A18,'验收清单'!$E$7:$E$66,"阻塞")</x:f>
        <x:v>0</x:v>
      </x:c>
      <x:c r="H18" s="52" t="n">
        <x:f>COUNTIFS('验收清单'!$B$7:$B$66,$A18,'验收清单'!$R$7:$R$66,"待补证据")</x:f>
        <x:v>0</x:v>
      </x:c>
      <x:c r="I18" s="52" t="n">
        <x:f>COUNTIFS('验收清单'!$B$7:$B$66,$A18,'验收清单'!$C$7:$C$66,"P0")</x:f>
        <x:v>9</x:v>
      </x:c>
      <x:c r="J18" s="52" t="n">
        <x:f>I18-COUNTIFS('验收清单'!$B$7:$B$66,$A18,'验收清单'!$C$7:$C$66,"P0",'验收清单'!$R$7:$R$66,"计入通过")</x:f>
        <x:v>9</x:v>
      </x:c>
      <x:c r="K18" s="52" t="n">
        <x:f>COUNTIFS('验收清单'!$B$7:$B$66,$A18,'验收清单'!$C$7:$C$66,"P0",'验收清单'!$E$7:$E$66,"不通过")+COUNTIFS('验收清单'!$B$7:$B$66,$A18,'验收清单'!$C$7:$C$66,"P0",'验收清单'!$E$7:$E$66,"阻塞")</x:f>
        <x:v>0</x:v>
      </x:c>
      <x:c r="L18" s="53" t="n">
        <x:f>IF(C18=0,0,D18/C18)</x:f>
        <x:v>0</x:v>
      </x:c>
    </x:row>
    <x:row r="19" ht="25" customHeight="1">
      <x:c r="A19" s="30" t="inlineStr">
        <x:is>
          <x:t xml:space="preserve">工作推进表</x:t>
        </x:is>
      </x:c>
      <x:c r="B19" s="31" t="inlineStr">
        <x:is>
          <x:t xml:space="preserve">纳入</x:t>
        </x:is>
      </x:c>
      <x:c r="C19" s="52" t="n">
        <x:f>COUNTIFS('验收清单'!$B$7:$B$66,$A19)</x:f>
        <x:v>12</x:v>
      </x:c>
      <x:c r="D19" s="52" t="n">
        <x:f>COUNTIFS('验收清单'!$B$7:$B$66,$A19,'验收清单'!$R$7:$R$66,"计入通过")</x:f>
        <x:v>2</x:v>
      </x:c>
      <x:c r="E19" s="52" t="n">
        <x:f>COUNTIFS('验收清单'!$B$7:$B$66,$A19,'验收清单'!$E$7:$E$66,"未验收")</x:f>
        <x:v>10</x:v>
      </x:c>
      <x:c r="F19" s="52" t="n">
        <x:f>COUNTIFS('验收清单'!$B$7:$B$66,$A19,'验收清单'!$E$7:$E$66,"不通过")</x:f>
        <x:v>0</x:v>
      </x:c>
      <x:c r="G19" s="52" t="n">
        <x:f>COUNTIFS('验收清单'!$B$7:$B$66,$A19,'验收清单'!$E$7:$E$66,"阻塞")</x:f>
        <x:v>0</x:v>
      </x:c>
      <x:c r="H19" s="52" t="n">
        <x:f>COUNTIFS('验收清单'!$B$7:$B$66,$A19,'验收清单'!$R$7:$R$66,"待补证据")</x:f>
        <x:v>0</x:v>
      </x:c>
      <x:c r="I19" s="52" t="n">
        <x:f>COUNTIFS('验收清单'!$B$7:$B$66,$A19,'验收清单'!$C$7:$C$66,"P0")</x:f>
        <x:v>5</x:v>
      </x:c>
      <x:c r="J19" s="52" t="n">
        <x:f>I19-COUNTIFS('验收清单'!$B$7:$B$66,$A19,'验收清单'!$C$7:$C$66,"P0",'验收清单'!$R$7:$R$66,"计入通过")</x:f>
        <x:v>4</x:v>
      </x:c>
      <x:c r="K19" s="52" t="n">
        <x:f>COUNTIFS('验收清单'!$B$7:$B$66,$A19,'验收清单'!$C$7:$C$66,"P0",'验收清单'!$E$7:$E$66,"不通过")+COUNTIFS('验收清单'!$B$7:$B$66,$A19,'验收清单'!$C$7:$C$66,"P0",'验收清单'!$E$7:$E$66,"阻塞")</x:f>
        <x:v>0</x:v>
      </x:c>
      <x:c r="L19" s="53" t="n">
        <x:f>IF(C19=0,0,D19/C19)</x:f>
        <x:v>0.16666666666666666</x:v>
      </x:c>
    </x:row>
    <x:row r="20" ht="25" customHeight="1">
      <x:c r="A20" s="30" t="inlineStr">
        <x:is>
          <x:t xml:space="preserve">汇报与确认</x:t>
        </x:is>
      </x:c>
      <x:c r="B20" s="31" t="inlineStr">
        <x:is>
          <x:t xml:space="preserve">纳入</x:t>
        </x:is>
      </x:c>
      <x:c r="C20" s="52" t="n">
        <x:f>COUNTIFS('验收清单'!$B$7:$B$66,$A20)</x:f>
        <x:v>8</x:v>
      </x:c>
      <x:c r="D20" s="52" t="n">
        <x:f>COUNTIFS('验收清单'!$B$7:$B$66,$A20,'验收清单'!$R$7:$R$66,"计入通过")</x:f>
        <x:v>2</x:v>
      </x:c>
      <x:c r="E20" s="52" t="n">
        <x:f>COUNTIFS('验收清单'!$B$7:$B$66,$A20,'验收清单'!$E$7:$E$66,"未验收")</x:f>
        <x:v>6</x:v>
      </x:c>
      <x:c r="F20" s="52" t="n">
        <x:f>COUNTIFS('验收清单'!$B$7:$B$66,$A20,'验收清单'!$E$7:$E$66,"不通过")</x:f>
        <x:v>0</x:v>
      </x:c>
      <x:c r="G20" s="52" t="n">
        <x:f>COUNTIFS('验收清单'!$B$7:$B$66,$A20,'验收清单'!$E$7:$E$66,"阻塞")</x:f>
        <x:v>0</x:v>
      </x:c>
      <x:c r="H20" s="52" t="n">
        <x:f>COUNTIFS('验收清单'!$B$7:$B$66,$A20,'验收清单'!$R$7:$R$66,"待补证据")</x:f>
        <x:v>0</x:v>
      </x:c>
      <x:c r="I20" s="52" t="n">
        <x:f>COUNTIFS('验收清单'!$B$7:$B$66,$A20,'验收清单'!$C$7:$C$66,"P0")</x:f>
        <x:v>7</x:v>
      </x:c>
      <x:c r="J20" s="52" t="n">
        <x:f>I20-COUNTIFS('验收清单'!$B$7:$B$66,$A20,'验收清单'!$C$7:$C$66,"P0",'验收清单'!$R$7:$R$66,"计入通过")</x:f>
        <x:v>6</x:v>
      </x:c>
      <x:c r="K20" s="52" t="n">
        <x:f>COUNTIFS('验收清单'!$B$7:$B$66,$A20,'验收清单'!$C$7:$C$66,"P0",'验收清单'!$E$7:$E$66,"不通过")+COUNTIFS('验收清单'!$B$7:$B$66,$A20,'验收清单'!$C$7:$C$66,"P0",'验收清单'!$E$7:$E$66,"阻塞")</x:f>
        <x:v>0</x:v>
      </x:c>
      <x:c r="L20" s="53" t="n">
        <x:f>IF(C20=0,0,D20/C20)</x:f>
        <x:v>0.25</x:v>
      </x:c>
    </x:row>
    <x:row r="21" ht="25" customHeight="1">
      <x:c r="A21" s="30" t="inlineStr">
        <x:is>
          <x:t xml:space="preserve">问题与成果</x:t>
        </x:is>
      </x:c>
      <x:c r="B21" s="31" t="inlineStr">
        <x:is>
          <x:t xml:space="preserve">纳入</x:t>
        </x:is>
      </x:c>
      <x:c r="C21" s="52" t="n">
        <x:f>COUNTIFS('验收清单'!$B$7:$B$66,$A21)</x:f>
        <x:v>6</x:v>
      </x:c>
      <x:c r="D21" s="52" t="n">
        <x:f>COUNTIFS('验收清单'!$B$7:$B$66,$A21,'验收清单'!$R$7:$R$66,"计入通过")</x:f>
        <x:v>0</x:v>
      </x:c>
      <x:c r="E21" s="52" t="n">
        <x:f>COUNTIFS('验收清单'!$B$7:$B$66,$A21,'验收清单'!$E$7:$E$66,"未验收")</x:f>
        <x:v>6</x:v>
      </x:c>
      <x:c r="F21" s="52" t="n">
        <x:f>COUNTIFS('验收清单'!$B$7:$B$66,$A21,'验收清单'!$E$7:$E$66,"不通过")</x:f>
        <x:v>0</x:v>
      </x:c>
      <x:c r="G21" s="52" t="n">
        <x:f>COUNTIFS('验收清单'!$B$7:$B$66,$A21,'验收清单'!$E$7:$E$66,"阻塞")</x:f>
        <x:v>0</x:v>
      </x:c>
      <x:c r="H21" s="52" t="n">
        <x:f>COUNTIFS('验收清单'!$B$7:$B$66,$A21,'验收清单'!$R$7:$R$66,"待补证据")</x:f>
        <x:v>0</x:v>
      </x:c>
      <x:c r="I21" s="52" t="n">
        <x:f>COUNTIFS('验收清单'!$B$7:$B$66,$A21,'验收清单'!$C$7:$C$66,"P0")</x:f>
        <x:v>3</x:v>
      </x:c>
      <x:c r="J21" s="52" t="n">
        <x:f>I21-COUNTIFS('验收清单'!$B$7:$B$66,$A21,'验收清单'!$C$7:$C$66,"P0",'验收清单'!$R$7:$R$66,"计入通过")</x:f>
        <x:v>3</x:v>
      </x:c>
      <x:c r="K21" s="52" t="n">
        <x:f>COUNTIFS('验收清单'!$B$7:$B$66,$A21,'验收清单'!$C$7:$C$66,"P0",'验收清单'!$E$7:$E$66,"不通过")+COUNTIFS('验收清单'!$B$7:$B$66,$A21,'验收清单'!$C$7:$C$66,"P0",'验收清单'!$E$7:$E$66,"阻塞")</x:f>
        <x:v>0</x:v>
      </x:c>
      <x:c r="L21" s="53" t="n">
        <x:f>IF(C21=0,0,D21/C21)</x:f>
        <x:v>0</x:v>
      </x:c>
    </x:row>
    <x:row r="22" ht="25" customHeight="1">
      <x:c r="A22" s="30" t="inlineStr">
        <x:is>
          <x:t xml:space="preserve">会议与 AI</x:t>
        </x:is>
      </x:c>
      <x:c r="B22" s="31" t="inlineStr">
        <x:is>
          <x:t xml:space="preserve">纳入</x:t>
        </x:is>
      </x:c>
      <x:c r="C22" s="52" t="n">
        <x:f>COUNTIFS('验收清单'!$B$7:$B$66,$A22)</x:f>
        <x:v>6</x:v>
      </x:c>
      <x:c r="D22" s="52" t="n">
        <x:f>COUNTIFS('验收清单'!$B$7:$B$66,$A22,'验收清单'!$R$7:$R$66,"计入通过")</x:f>
        <x:v>0</x:v>
      </x:c>
      <x:c r="E22" s="52" t="n">
        <x:f>COUNTIFS('验收清单'!$B$7:$B$66,$A22,'验收清单'!$E$7:$E$66,"未验收")</x:f>
        <x:v>6</x:v>
      </x:c>
      <x:c r="F22" s="52" t="n">
        <x:f>COUNTIFS('验收清单'!$B$7:$B$66,$A22,'验收清单'!$E$7:$E$66,"不通过")</x:f>
        <x:v>0</x:v>
      </x:c>
      <x:c r="G22" s="52" t="n">
        <x:f>COUNTIFS('验收清单'!$B$7:$B$66,$A22,'验收清单'!$E$7:$E$66,"阻塞")</x:f>
        <x:v>0</x:v>
      </x:c>
      <x:c r="H22" s="52" t="n">
        <x:f>COUNTIFS('验收清单'!$B$7:$B$66,$A22,'验收清单'!$R$7:$R$66,"待补证据")</x:f>
        <x:v>0</x:v>
      </x:c>
      <x:c r="I22" s="52" t="n">
        <x:f>COUNTIFS('验收清单'!$B$7:$B$66,$A22,'验收清单'!$C$7:$C$66,"P0")</x:f>
        <x:v>4</x:v>
      </x:c>
      <x:c r="J22" s="52" t="n">
        <x:f>I22-COUNTIFS('验收清单'!$B$7:$B$66,$A22,'验收清单'!$C$7:$C$66,"P0",'验收清单'!$R$7:$R$66,"计入通过")</x:f>
        <x:v>4</x:v>
      </x:c>
      <x:c r="K22" s="52" t="n">
        <x:f>COUNTIFS('验收清单'!$B$7:$B$66,$A22,'验收清单'!$C$7:$C$66,"P0",'验收清单'!$E$7:$E$66,"不通过")+COUNTIFS('验收清单'!$B$7:$B$66,$A22,'验收清单'!$C$7:$C$66,"P0",'验收清单'!$E$7:$E$66,"阻塞")</x:f>
        <x:v>0</x:v>
      </x:c>
      <x:c r="L22" s="53" t="n">
        <x:f>IF(C22=0,0,D22/C22)</x:f>
        <x:v>0</x:v>
      </x:c>
    </x:row>
    <x:row r="23" ht="25" customHeight="1">
      <x:c r="A23" s="30" t="inlineStr">
        <x:is>
          <x:t xml:space="preserve">结束与归档</x:t>
        </x:is>
      </x:c>
      <x:c r="B23" s="31" t="inlineStr">
        <x:is>
          <x:t xml:space="preserve">纳入</x:t>
        </x:is>
      </x:c>
      <x:c r="C23" s="52" t="n">
        <x:f>COUNTIFS('验收清单'!$B$7:$B$66,$A23)</x:f>
        <x:v>4</x:v>
      </x:c>
      <x:c r="D23" s="52" t="n">
        <x:f>COUNTIFS('验收清单'!$B$7:$B$66,$A23,'验收清单'!$R$7:$R$66,"计入通过")</x:f>
        <x:v>0</x:v>
      </x:c>
      <x:c r="E23" s="52" t="n">
        <x:f>COUNTIFS('验收清单'!$B$7:$B$66,$A23,'验收清单'!$E$7:$E$66,"未验收")</x:f>
        <x:v>4</x:v>
      </x:c>
      <x:c r="F23" s="52" t="n">
        <x:f>COUNTIFS('验收清单'!$B$7:$B$66,$A23,'验收清单'!$E$7:$E$66,"不通过")</x:f>
        <x:v>0</x:v>
      </x:c>
      <x:c r="G23" s="52" t="n">
        <x:f>COUNTIFS('验收清单'!$B$7:$B$66,$A23,'验收清单'!$E$7:$E$66,"阻塞")</x:f>
        <x:v>0</x:v>
      </x:c>
      <x:c r="H23" s="52" t="n">
        <x:f>COUNTIFS('验收清单'!$B$7:$B$66,$A23,'验收清单'!$R$7:$R$66,"待补证据")</x:f>
        <x:v>0</x:v>
      </x:c>
      <x:c r="I23" s="52" t="n">
        <x:f>COUNTIFS('验收清单'!$B$7:$B$66,$A23,'验收清单'!$C$7:$C$66,"P0")</x:f>
        <x:v>4</x:v>
      </x:c>
      <x:c r="J23" s="52" t="n">
        <x:f>I23-COUNTIFS('验收清单'!$B$7:$B$66,$A23,'验收清单'!$C$7:$C$66,"P0",'验收清单'!$R$7:$R$66,"计入通过")</x:f>
        <x:v>4</x:v>
      </x:c>
      <x:c r="K23" s="52" t="n">
        <x:f>COUNTIFS('验收清单'!$B$7:$B$66,$A23,'验收清单'!$C$7:$C$66,"P0",'验收清单'!$E$7:$E$66,"不通过")+COUNTIFS('验收清单'!$B$7:$B$66,$A23,'验收清单'!$C$7:$C$66,"P0",'验收清单'!$E$7:$E$66,"阻塞")</x:f>
        <x:v>0</x:v>
      </x:c>
      <x:c r="L23" s="53" t="n">
        <x:f>IF(C23=0,0,D23/C23)</x:f>
        <x:v>0</x:v>
      </x:c>
    </x:row>
    <x:row r="24" ht="25" customHeight="1">
      <x:c r="A24" s="30" t="inlineStr">
        <x:is>
          <x:t xml:space="preserve">界面与交付</x:t>
        </x:is>
      </x:c>
      <x:c r="B24" s="31" t="inlineStr">
        <x:is>
          <x:t xml:space="preserve">纳入</x:t>
        </x:is>
      </x:c>
      <x:c r="C24" s="52" t="n">
        <x:f>COUNTIFS('验收清单'!$B$7:$B$66,$A24)</x:f>
        <x:v>6</x:v>
      </x:c>
      <x:c r="D24" s="52" t="n">
        <x:f>COUNTIFS('验收清单'!$B$7:$B$66,$A24,'验收清单'!$R$7:$R$66,"计入通过")</x:f>
        <x:v>0</x:v>
      </x:c>
      <x:c r="E24" s="52" t="n">
        <x:f>COUNTIFS('验收清单'!$B$7:$B$66,$A24,'验收清单'!$E$7:$E$66,"未验收")</x:f>
        <x:v>6</x:v>
      </x:c>
      <x:c r="F24" s="52" t="n">
        <x:f>COUNTIFS('验收清单'!$B$7:$B$66,$A24,'验收清单'!$E$7:$E$66,"不通过")</x:f>
        <x:v>0</x:v>
      </x:c>
      <x:c r="G24" s="52" t="n">
        <x:f>COUNTIFS('验收清单'!$B$7:$B$66,$A24,'验收清单'!$E$7:$E$66,"阻塞")</x:f>
        <x:v>0</x:v>
      </x:c>
      <x:c r="H24" s="52" t="n">
        <x:f>COUNTIFS('验收清单'!$B$7:$B$66,$A24,'验收清单'!$R$7:$R$66,"待补证据")</x:f>
        <x:v>0</x:v>
      </x:c>
      <x:c r="I24" s="52" t="n">
        <x:f>COUNTIFS('验收清单'!$B$7:$B$66,$A24,'验收清单'!$C$7:$C$66,"P0")</x:f>
        <x:v>3</x:v>
      </x:c>
      <x:c r="J24" s="52" t="n">
        <x:f>I24-COUNTIFS('验收清单'!$B$7:$B$66,$A24,'验收清单'!$C$7:$C$66,"P0",'验收清单'!$R$7:$R$66,"计入通过")</x:f>
        <x:v>3</x:v>
      </x:c>
      <x:c r="K24" s="52" t="n">
        <x:f>COUNTIFS('验收清单'!$B$7:$B$66,$A24,'验收清单'!$C$7:$C$66,"P0",'验收清单'!$E$7:$E$66,"不通过")+COUNTIFS('验收清单'!$B$7:$B$66,$A24,'验收清单'!$C$7:$C$66,"P0",'验收清单'!$E$7:$E$66,"阻塞")</x:f>
        <x:v>0</x:v>
      </x:c>
      <x:c r="L24" s="53" t="n">
        <x:f>IF(C24=0,0,D24/C24)</x:f>
        <x:v>0</x:v>
      </x:c>
    </x:row>
    <x:row r="25" ht="25" customHeight="1">
      <x:c r="A25" s="34" t="inlineStr">
        <x:is>
          <x:t xml:space="preserve">本批纳入合计</x:t>
        </x:is>
      </x:c>
      <x:c r="B25" s="34" t="n"/>
      <x:c r="C25" s="54" t="n">
        <x:f>SUMIFS(C17:C24,$B$17:$B$24,"纳入")</x:f>
        <x:v>60</x:v>
      </x:c>
      <x:c r="D25" s="54" t="n">
        <x:f>SUMIFS(D17:D24,$B$17:$B$24,"纳入")</x:f>
        <x:v>4</x:v>
      </x:c>
      <x:c r="E25" s="54" t="n">
        <x:f>SUMIFS(E17:E24,$B$17:$B$24,"纳入")</x:f>
        <x:v>56</x:v>
      </x:c>
      <x:c r="F25" s="54" t="n">
        <x:f>SUMIFS(F17:F24,$B$17:$B$24,"纳入")</x:f>
        <x:v>0</x:v>
      </x:c>
      <x:c r="G25" s="54" t="n">
        <x:f>SUMIFS(G17:G24,$B$17:$B$24,"纳入")</x:f>
        <x:v>0</x:v>
      </x:c>
      <x:c r="H25" s="54" t="n">
        <x:f>SUMIFS(H17:H24,$B$17:$B$24,"纳入")</x:f>
        <x:v>0</x:v>
      </x:c>
      <x:c r="I25" s="54" t="n">
        <x:f>SUMIFS(I17:I24,$B$17:$B$24,"纳入")</x:f>
        <x:v>41</x:v>
      </x:c>
      <x:c r="J25" s="54" t="n">
        <x:f>SUMIFS(J17:J24,$B$17:$B$24,"纳入")</x:f>
        <x:v>39</x:v>
      </x:c>
      <x:c r="K25" s="54" t="n">
        <x:f>SUMIFS(K17:K24,$B$17:$B$24,"纳入")</x:f>
        <x:v>0</x:v>
      </x:c>
      <x:c r="L25" s="55" t="n">
        <x:f>IF(C25=0,0,D25/C25)</x:f>
        <x:v>0.06666666666666667</x:v>
      </x:c>
    </x:row>
    <x:row r="26" ht="25" customHeight="1">
      <x:c r="A26" s="2" t="n"/>
      <x:c r="B26" s="2" t="n"/>
      <x:c r="C26" s="2" t="n"/>
      <x:c r="D26" s="2" t="n"/>
      <x:c r="E26" s="2" t="n"/>
      <x:c r="F26" s="2" t="n"/>
      <x:c r="G26" s="2" t="n"/>
      <x:c r="H26" s="2" t="n"/>
      <x:c r="I26" s="2" t="n"/>
      <x:c r="J26" s="2" t="n"/>
      <x:c r="K26" s="2" t="n"/>
      <x:c r="L26" s="2" t="n"/>
    </x:row>
    <x:row r="27" ht="25" customHeight="1">
      <x:c r="A27" s="2" t="n"/>
      <x:c r="B27" s="2" t="n"/>
      <x:c r="C27" s="2" t="n"/>
      <x:c r="D27" s="2" t="n"/>
      <x:c r="E27" s="2" t="n"/>
      <x:c r="F27" s="2" t="n"/>
      <x:c r="G27" s="2" t="n"/>
      <x:c r="H27" s="2" t="n"/>
      <x:c r="I27" s="2" t="n"/>
      <x:c r="J27" s="2" t="n"/>
      <x:c r="K27" s="2" t="n"/>
      <x:c r="L27" s="2" t="n"/>
    </x:row>
    <x:row r="28" ht="25" customHeight="1">
      <x:c r="A28" s="8" t="inlineStr">
        <x:is>
          <x:t xml:space="preserve">统计口径</x:t>
        </x:is>
      </x:c>
      <x:c r="B28" s="2" t="n"/>
      <x:c r="C28" s="2" t="n"/>
      <x:c r="D28" s="2" t="n"/>
      <x:c r="E28" s="2" t="n"/>
      <x:c r="F28" s="2" t="n"/>
      <x:c r="G28" s="2" t="n"/>
      <x:c r="H28" s="2" t="n"/>
      <x:c r="I28" s="2" t="n"/>
      <x:c r="J28" s="2" t="n"/>
      <x:c r="K28" s="2" t="n"/>
      <x:c r="L28" s="2" t="n"/>
    </x:row>
    <x:row r="29" ht="25" customHeight="1">
      <x:c r="A29" s="2" t="inlineStr">
        <x:is>
          <x:t xml:space="preserve">有效通过：本次结果为“通过”，且“实际结果与证据”有非空内容。证据真实性仍需验收人核对。</x:t>
        </x:is>
      </x:c>
      <x:c r="B29" s="2" t="n"/>
      <x:c r="C29" s="2" t="n"/>
      <x:c r="D29" s="2" t="n"/>
      <x:c r="E29" s="2" t="n"/>
      <x:c r="F29" s="2" t="n"/>
      <x:c r="G29" s="2" t="n"/>
      <x:c r="H29" s="2" t="n"/>
      <x:c r="I29" s="2" t="n"/>
      <x:c r="J29" s="2" t="n"/>
      <x:c r="K29" s="2" t="n"/>
      <x:c r="L29" s="2" t="n"/>
    </x:row>
    <x:row r="30" ht="25" customHeight="1">
      <x:c r="A30" s="2" t="inlineStr">
        <x:is>
          <x:t xml:space="preserve">P0 未完成：未验收、不通过、阻塞，以及已选通过但缺少证据的 P0 条目。该数量不等于缺陷数。</x:t>
        </x:is>
      </x:c>
      <x:c r="B30" s="2" t="n"/>
      <x:c r="C30" s="2" t="n"/>
      <x:c r="D30" s="2" t="n"/>
      <x:c r="E30" s="2" t="n"/>
      <x:c r="F30" s="2" t="n"/>
      <x:c r="G30" s="2" t="n"/>
      <x:c r="H30" s="2" t="n"/>
      <x:c r="I30" s="2" t="n"/>
      <x:c r="J30" s="2" t="n"/>
      <x:c r="K30" s="2" t="n"/>
      <x:c r="L30" s="2" t="n"/>
    </x:row>
    <x:row r="31" ht="25" customHeight="1">
      <x:c r="A31" s="2" t="inlineStr">
        <x:is>
          <x:t xml:space="preserve">P0 阻断：本次结果为“不通过”或“阻塞”的 P0 条目。出现任意一项，本批不能签收。</x:t>
        </x:is>
      </x:c>
      <x:c r="B31" s="2" t="n"/>
      <x:c r="C31" s="2" t="n"/>
      <x:c r="D31" s="2" t="n"/>
      <x:c r="E31" s="2" t="n"/>
      <x:c r="F31" s="2" t="n"/>
      <x:c r="G31" s="2" t="n"/>
      <x:c r="H31" s="2" t="n"/>
      <x:c r="I31" s="2" t="n"/>
      <x:c r="J31" s="2" t="n"/>
      <x:c r="K31" s="2" t="n"/>
      <x:c r="L31" s="2" t="n"/>
    </x:row>
    <x:row r="32" ht="25" customHeight="1">
      <x:c r="A32" s="2" t="inlineStr">
        <x:is>
          <x:t xml:space="preserve">拟定改版目标需要实现后逐条复验；“已知待修”和“历史有记录”均不代表本次通过。</x:t>
        </x:is>
      </x:c>
      <x:c r="B32" s="2" t="n"/>
      <x:c r="C32" s="2" t="n"/>
      <x:c r="D32" s="2" t="n"/>
      <x:c r="E32" s="2" t="n"/>
      <x:c r="F32" s="2" t="n"/>
      <x:c r="G32" s="2" t="n"/>
      <x:c r="H32" s="2" t="n"/>
      <x:c r="I32" s="2" t="n"/>
      <x:c r="J32" s="2" t="n"/>
      <x:c r="K32" s="2" t="n"/>
      <x:c r="L32" s="2" t="n"/>
    </x:row>
    <x:row r="33" ht="25" customHeight="1">
      <x:c r="A33" s="2" t="inlineStr">
        <x:is>
          <x:t xml:space="preserve">完整标准、操作步骤与来源均保留在“验收清单”。标准日期与来源沿用已交付 HTML。</x:t>
        </x:is>
      </x:c>
      <x:c r="B33" s="2" t="n"/>
      <x:c r="C33" s="2" t="n"/>
      <x:c r="D33" s="2" t="n"/>
      <x:c r="E33" s="2" t="n"/>
      <x:c r="F33" s="2" t="n"/>
      <x:c r="G33" s="2" t="n"/>
      <x:c r="H33" s="2" t="n"/>
      <x:c r="I33" s="2" t="n"/>
      <x:c r="J33" s="2" t="n"/>
      <x:c r="K33" s="2" t="n"/>
      <x:c r="L33" s="2" t="n"/>
    </x:row>
    <x:row r="34" ht="25" customHeight="1">
      <x:c r="A34" s="2" t="n"/>
      <x:c r="B34" s="2" t="n"/>
      <x:c r="C34" s="2" t="n"/>
      <x:c r="D34" s="2" t="n"/>
      <x:c r="E34" s="2" t="n"/>
      <x:c r="F34" s="2" t="n"/>
      <x:c r="G34" s="2" t="n"/>
      <x:c r="H34" s="2" t="n"/>
      <x:c r="I34" s="2" t="n"/>
      <x:c r="J34" s="2" t="n"/>
      <x:c r="K34" s="2" t="n"/>
      <x:c r="L34" s="2" t="n"/>
    </x:row>
    <x:row r="35" ht="25" customHeight="1">
      <x:c r="A35" s="2" t="inlineStr">
        <x:is>
          <x:t xml:space="preserve">签收结论（人工填写）</x:t>
        </x:is>
      </x:c>
      <x:c r="B35" s="6" t="inlineStr">
        <x:is>
          <x:t xml:space="preserve">未签收</x:t>
        </x:is>
      </x:c>
      <x:c r="C35" s="2" t="n"/>
      <x:c r="D35" s="2" t="n"/>
      <x:c r="E35" s="2" t="n"/>
      <x:c r="F35" s="2" t="n"/>
      <x:c r="G35" s="2" t="n"/>
      <x:c r="H35" s="2" t="n"/>
      <x:c r="I35" s="2" t="n"/>
      <x:c r="J35" s="2" t="n"/>
      <x:c r="K35" s="2" t="n"/>
      <x:c r="L35" s="2" t="n"/>
    </x:row>
    <x:row r="36" ht="25" customHeight="1">
      <x:c r="A36" s="2" t="inlineStr">
        <x:is>
          <x:t xml:space="preserve">签收人 / 日期</x:t>
        </x:is>
      </x:c>
      <x:c r="B36" s="6" t="n"/>
      <x:c r="C36" s="2" t="n"/>
      <x:c r="D36" s="2" t="n"/>
      <x:c r="E36" s="2" t="n"/>
      <x:c r="F36" s="2" t="n"/>
      <x:c r="G36" s="2" t="n"/>
      <x:c r="H36" s="2" t="n"/>
      <x:c r="I36" s="2" t="n"/>
      <x:c r="J36" s="2" t="n"/>
      <x:c r="K36" s="2" t="n"/>
      <x:c r="L36" s="2" t="n"/>
    </x:row>
    <x:row r="37" ht="25" customHeight="1">
      <x:c r="A37" s="2" t="n"/>
      <x:c r="B37" s="2" t="n"/>
      <x:c r="C37" s="2" t="n"/>
      <x:c r="D37" s="2" t="n"/>
      <x:c r="E37" s="2" t="n"/>
      <x:c r="F37" s="2" t="n"/>
      <x:c r="G37" s="2" t="n"/>
      <x:c r="H37" s="2" t="n"/>
      <x:c r="I37" s="2" t="n"/>
      <x:c r="J37" s="2" t="n"/>
      <x:c r="K37" s="2" t="n"/>
      <x:c r="L37" s="2" t="n"/>
    </x:row>
    <x:row r="38" ht="25" customHeight="1">
      <x:c r="A38" s="2" t="n"/>
      <x:c r="B38" s="2" t="n"/>
      <x:c r="C38" s="2" t="n"/>
      <x:c r="D38" s="2" t="n"/>
      <x:c r="E38" s="2" t="n"/>
      <x:c r="F38" s="2" t="n"/>
      <x:c r="G38" s="2" t="n"/>
      <x:c r="H38" s="2" t="n"/>
      <x:c r="I38" s="2" t="n"/>
      <x:c r="J38" s="2" t="n"/>
      <x:c r="K38" s="2" t="n"/>
      <x:c r="L38" s="2" t="n"/>
    </x:row>
    <x:row r="39" ht="25" customHeight="1">
      <x:c r="A39" s="2" t="n"/>
      <x:c r="B39" s="2" t="n"/>
      <x:c r="C39" s="2" t="n"/>
      <x:c r="D39" s="2" t="n"/>
      <x:c r="E39" s="2" t="n"/>
      <x:c r="F39" s="2" t="n"/>
      <x:c r="G39" s="2" t="n"/>
      <x:c r="H39" s="2" t="n"/>
      <x:c r="I39" s="2" t="n"/>
      <x:c r="J39" s="2" t="n"/>
      <x:c r="K39" s="2" t="n"/>
      <x:c r="L39" s="2" t="n"/>
    </x:row>
    <x:row r="40" ht="25" customHeight="1">
      <x:c r="A40" s="2" t="n"/>
      <x:c r="B40" s="2" t="n"/>
      <x:c r="C40" s="2" t="n"/>
      <x:c r="D40" s="2" t="n"/>
      <x:c r="E40" s="2" t="n"/>
      <x:c r="F40" s="2" t="n"/>
      <x:c r="G40" s="2" t="n"/>
      <x:c r="H40" s="2" t="n"/>
      <x:c r="I40" s="2" t="n"/>
      <x:c r="J40" s="2" t="n"/>
      <x:c r="K40" s="2" t="n"/>
      <x:c r="L40" s="2" t="n"/>
    </x:row>
  </x:sheetData>
  <x:conditionalFormatting sqref="F17:H25">
    <x:cfRule type="expression" dxfId="5" priority="1">
      <x:formula>F17&gt;0</x:formula>
    </x:cfRule>
  </x:conditionalFormatting>
  <x:conditionalFormatting sqref="J17:K25">
    <x:cfRule type="expression" dxfId="5" priority="2">
      <x:formula>J17&gt;0</x:formula>
    </x:cfRule>
  </x:conditionalFormatting>
  <x:dataValidations count="2">
    <x:dataValidation type="list" allowBlank="0" showDropDown="0" showInputMessage="0" showErrorMessage="0" sqref="B17:B24">
      <x:formula1>"纳入,不纳入"</x:formula1>
    </x:dataValidation>
    <x:dataValidation type="list" allowBlank="0" showDropDown="0" showInputMessage="0" showErrorMessage="0" sqref="B35">
      <x:formula1>"未签收,通过,不通过"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88A6"/>
  </x:sheetPr>
  <x:sheetViews>
    <x:sheetView showGridLines="0" workbookViewId="0">
      <x:pane xSplit="4" ySplit="6" topLeftCell="E7" activePane="bottomRight" state="frozen"/>
    </x:sheetView>
  </x:sheetViews>
  <x:sheetFormatPr baseColWidth="8" defaultRowHeight="15"/>
  <x:cols>
    <x:col min="1" max="1" width="9" customWidth="1"/>
    <x:col min="2" max="2" width="18" customWidth="1"/>
    <x:col min="3" max="3" width="10" customWidth="1"/>
    <x:col min="4" max="4" width="31" customWidth="1"/>
    <x:col min="5" max="5" width="14" customWidth="1"/>
    <x:col min="6" max="6" width="46" customWidth="1"/>
    <x:col min="7" max="7" width="15" customWidth="1"/>
    <x:col min="8" max="8" width="15" customWidth="1"/>
    <x:col min="9" max="9" width="40" customWidth="1"/>
    <x:col min="10" max="10" width="26" customWidth="1"/>
    <x:col min="11" max="11" width="45" customWidth="1"/>
    <x:col min="12" max="12" width="52" customWidth="1"/>
    <x:col min="13" max="13" width="56" customWidth="1"/>
    <x:col min="14" max="14" width="48" customWidth="1"/>
    <x:col min="15" max="15" width="20" customWidth="1"/>
    <x:col min="16" max="16" width="27" customWidth="1"/>
    <x:col min="17" max="17" width="46" customWidth="1"/>
    <x:col min="18" max="18" width="17" customWidth="1"/>
  </x:cols>
  <x:sheetData>
    <x:row r="1">
      <x:c r="A1" s="1" t="n"/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37" t="inlineStr">
        <x:is>
          <x:t xml:space="preserve">项目管理系统验收清单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38" t="inlineStr">
        <x:is>
          <x:t xml:space="preserve">标准日期：2026-10-15。黄色列填写本次结果、证据、执行人和跟进信息。共 60 项，全部初始为未验收。</x:t>
        </x:is>
      </x:c>
      <x:c r="B3" s="38" t="n"/>
      <x:c r="C3" s="38" t="n"/>
      <x:c r="D3" s="38" t="n"/>
      <x:c r="E3" s="38" t="n"/>
      <x:c r="F3" s="38" t="n"/>
      <x:c r="G3" s="38" t="n"/>
      <x:c r="H3" s="38" t="n"/>
      <x:c r="I3" s="38" t="n"/>
      <x:c r="J3" s="38" t="n"/>
      <x:c r="K3" s="38" t="n"/>
      <x:c r="L3" s="38" t="n"/>
      <x:c r="M3" s="38" t="n"/>
      <x:c r="N3" s="38" t="n"/>
      <x:c r="O3" s="38" t="n"/>
      <x:c r="P3" s="38" t="n"/>
      <x:c r="Q3" s="38" t="n"/>
      <x:c r="R3" s="38" t="n"/>
    </x:row>
    <x:row r="4">
      <x:c r="A4" s="38" t="inlineStr">
        <x:is>
          <x:t xml:space="preserve">来源：项目管理系统验收标准-2026-10-15.html。历史标识不作为本次验收结论，证据判定自动计算。</x:t>
        </x:is>
      </x:c>
      <x:c r="B4" s="38" t="n"/>
      <x:c r="C4" s="38" t="n"/>
      <x:c r="D4" s="38" t="n"/>
      <x:c r="E4" s="38" t="n"/>
      <x:c r="F4" s="38" t="n"/>
      <x:c r="G4" s="38" t="n"/>
      <x:c r="H4" s="38" t="n"/>
      <x:c r="I4" s="38" t="n"/>
      <x:c r="J4" s="38" t="n"/>
      <x:c r="K4" s="38" t="n"/>
      <x:c r="L4" s="38" t="n"/>
      <x:c r="M4" s="38" t="n"/>
      <x:c r="N4" s="38" t="n"/>
      <x:c r="O4" s="38" t="n"/>
      <x:c r="P4" s="38" t="n"/>
      <x:c r="Q4" s="38" t="n"/>
      <x:c r="R4" s="38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 ht="34" customHeight="1">
      <x:c r="A6" s="48" t="inlineStr">
        <x:is>
          <x:t xml:space="preserve">编号</x:t>
        </x:is>
      </x:c>
      <x:c r="B6" s="48" t="inlineStr">
        <x:is>
          <x:t xml:space="preserve">模块</x:t>
        </x:is>
      </x:c>
      <x:c r="C6" s="48" t="inlineStr">
        <x:is>
          <x:t xml:space="preserve">优先级</x:t>
        </x:is>
      </x:c>
      <x:c r="D6" s="48" t="inlineStr">
        <x:is>
          <x:t xml:space="preserve">验收事项</x:t>
        </x:is>
      </x:c>
      <x:c r="E6" s="48" t="inlineStr">
        <x:is>
          <x:t xml:space="preserve">本次结果</x:t>
        </x:is>
      </x:c>
      <x:c r="F6" s="48" t="inlineStr">
        <x:is>
          <x:t xml:space="preserve">实际结果与证据</x:t>
        </x:is>
      </x:c>
      <x:c r="G6" s="48" t="inlineStr">
        <x:is>
          <x:t xml:space="preserve">执行人</x:t>
        </x:is>
      </x:c>
      <x:c r="H6" s="48" t="inlineStr">
        <x:is>
          <x:t xml:space="preserve">验收日期</x:t>
        </x:is>
      </x:c>
      <x:c r="I6" s="48" t="inlineStr">
        <x:is>
          <x:t xml:space="preserve">整改与复测跟进</x:t>
        </x:is>
      </x:c>
      <x:c r="J6" s="48" t="inlineStr">
        <x:is>
          <x:t xml:space="preserve">执行角色</x:t>
        </x:is>
      </x:c>
      <x:c r="K6" s="48" t="inlineStr">
        <x:is>
          <x:t xml:space="preserve">准备条件</x:t>
        </x:is>
      </x:c>
      <x:c r="L6" s="48" t="inlineStr">
        <x:is>
          <x:t xml:space="preserve">操作步骤</x:t>
        </x:is>
      </x:c>
      <x:c r="M6" s="48" t="inlineStr">
        <x:is>
          <x:t xml:space="preserve">通过条件</x:t>
        </x:is>
      </x:c>
      <x:c r="N6" s="48" t="inlineStr">
        <x:is>
          <x:t xml:space="preserve">证据要求</x:t>
        </x:is>
      </x:c>
      <x:c r="O6" s="48" t="inlineStr">
        <x:is>
          <x:t xml:space="preserve">历史标识</x:t>
        </x:is>
      </x:c>
      <x:c r="P6" s="48" t="inlineStr">
        <x:is>
          <x:t xml:space="preserve">标准类型</x:t>
        </x:is>
      </x:c>
      <x:c r="Q6" s="48" t="inlineStr">
        <x:is>
          <x:t xml:space="preserve">依据</x:t>
        </x:is>
      </x:c>
      <x:c r="R6" s="48" t="inlineStr">
        <x:is>
          <x:t xml:space="preserve">证据判定</x:t>
        </x:is>
      </x:c>
    </x:row>
    <x:row r="7" ht="94" customHeight="1">
      <x:c r="A7" s="41" t="inlineStr">
        <x:is>
          <x:t xml:space="preserve">A01</x:t>
        </x:is>
      </x:c>
      <x:c r="B7" s="41" t="inlineStr">
        <x:is>
          <x:t xml:space="preserve">身份与权限</x:t>
        </x:is>
      </x:c>
      <x:c r="C7" s="41" t="inlineStr">
        <x:is>
          <x:t xml:space="preserve">P0</x:t>
        </x:is>
      </x:c>
      <x:c r="D7" s="41" t="inlineStr">
        <x:is>
          <x:t xml:space="preserve">独立账号与角色准备</x:t>
        </x:is>
      </x:c>
      <x:c r="E7" s="42" t="inlineStr">
        <x:is>
          <x:t xml:space="preserve">未验收</x:t>
        </x:is>
      </x:c>
      <x:c r="F7" s="42" t="n"/>
      <x:c r="G7" s="42" t="n"/>
      <x:c r="H7" s="56" t="n"/>
      <x:c r="I7" s="42" t="n"/>
      <x:c r="J7" s="41" t="inlineStr">
        <x:is>
          <x:t xml:space="preserve">验收负责人</x:t>
        </x:is>
      </x:c>
      <x:c r="K7" s="41" t="inlineStr">
        <x:is>
          <x:t xml:space="preserve">准备公司管理、PM、企业教练、统筹人、成员及项目外人员账号。</x:t>
        </x:is>
      </x:c>
      <x:c r="L7" s="41" t="inlineStr">
        <x:is>
          <x:t xml:space="preserve">1. 分别登录并记录账号与人员标识
2. 确认角色来自本项目实际成员关系</x:t>
        </x:is>
      </x:c>
      <x:c r="M7" s="41" t="inlineStr">
        <x:is>
          <x:t xml:space="preserve">1. 各账号可登录；展示身份准确
2. 常规业务验收使用独立 PM、教练、成员账号，技术管理员仅用于配置或专门例外测试</x:t>
        </x:is>
      </x:c>
      <x:c r="N7" s="41" t="inlineStr">
        <x:is>
          <x:t xml:space="preserve">账号与项目角色表、登录截图；记录人员 ID，勿记录密码</x:t>
        </x:is>
      </x:c>
      <x:c r="O7" s="41" t="inlineStr">
        <x:is>
          <x:t xml:space="preserve">本次待核验</x:t>
        </x:is>
      </x:c>
      <x:c r="P7" s="41" t="inlineStr">
        <x:is>
          <x:t xml:space="preserve">业务规则</x:t>
        </x:is>
      </x:c>
      <x:c r="Q7" s="41" t="inlineStr">
        <x:is>
          <x:t xml:space="preserve">规则与权限口径
PROJECT_LIFECYCLE_AND_PERMISSIONS.md</x:t>
        </x:is>
      </x:c>
      <x:c r="R7" s="41" t="str">
        <x:f>IF(E7="通过",IF(LEN(TRIM(F7))&gt;0,"计入通过","待补证据"),"未通过")</x:f>
        <x:v>未通过</x:v>
      </x:c>
    </x:row>
    <x:row r="8" ht="94" customHeight="1">
      <x:c r="A8" s="41" t="inlineStr">
        <x:is>
          <x:t xml:space="preserve">A02</x:t>
        </x:is>
      </x:c>
      <x:c r="B8" s="41" t="inlineStr">
        <x:is>
          <x:t xml:space="preserve">身份与权限</x:t>
        </x:is>
      </x:c>
      <x:c r="C8" s="41" t="inlineStr">
        <x:is>
          <x:t xml:space="preserve">P0</x:t>
        </x:is>
      </x:c>
      <x:c r="D8" s="41" t="inlineStr">
        <x:is>
          <x:t xml:space="preserve">项目范围隔离</x:t>
        </x:is>
      </x:c>
      <x:c r="E8" s="42" t="inlineStr">
        <x:is>
          <x:t xml:space="preserve">未验收</x:t>
        </x:is>
      </x:c>
      <x:c r="F8" s="42" t="n"/>
      <x:c r="G8" s="42" t="n"/>
      <x:c r="H8" s="56" t="n"/>
      <x:c r="I8" s="42" t="n"/>
      <x:c r="J8" s="41" t="inlineStr">
        <x:is>
          <x:t xml:space="preserve">项目成员 / 项目外人员</x:t>
        </x:is>
      </x:c>
      <x:c r="K8" s="41" t="inlineStr">
        <x:is>
          <x:t xml:space="preserve">建立两个项目，各包含独立任务及记录。</x:t>
        </x:is>
      </x:c>
      <x:c r="L8" s="41" t="inlineStr">
        <x:is>
          <x:t xml:space="preserve">1. 以项目甲成员打开甲项目
2. 通过地址及接口尝试读取无权访问的乙项目数据</x:t>
        </x:is>
      </x:c>
      <x:c r="M8" s="41" t="inlineStr">
        <x:is>
          <x:t xml:space="preserve">1. 可访问授权项目
2. 无权访问时明确拒绝，不泄露项目、任务、问题和附件数据</x:t>
        </x:is>
      </x:c>
      <x:c r="N8" s="41" t="inlineStr">
        <x:is>
          <x:t xml:space="preserve">两账号操作记录、经脱敏的接口响应</x:t>
        </x:is>
      </x:c>
      <x:c r="O8" s="41" t="inlineStr">
        <x:is>
          <x:t xml:space="preserve">本次待核验</x:t>
        </x:is>
      </x:c>
      <x:c r="P8" s="41" t="inlineStr">
        <x:is>
          <x:t xml:space="preserve">业务规则</x:t>
        </x:is>
      </x:c>
      <x:c r="Q8" s="41" t="inlineStr">
        <x:is>
          <x:t xml:space="preserve">规则与权限口径
PROJECT_LIFECYCLE_AND_PERMISSIONS.md</x:t>
        </x:is>
      </x:c>
      <x:c r="R8" s="41" t="str">
        <x:f>IF(E8="通过",IF(LEN(TRIM(F8))&gt;0,"计入通过","待补证据"),"未通过")</x:f>
        <x:v>未通过</x:v>
      </x:c>
    </x:row>
    <x:row r="9" ht="94" customHeight="1">
      <x:c r="A9" s="41" t="inlineStr">
        <x:is>
          <x:t xml:space="preserve">A03</x:t>
        </x:is>
      </x:c>
      <x:c r="B9" s="41" t="inlineStr">
        <x:is>
          <x:t xml:space="preserve">身份与权限</x:t>
        </x:is>
      </x:c>
      <x:c r="C9" s="41" t="inlineStr">
        <x:is>
          <x:t xml:space="preserve">P0</x:t>
        </x:is>
      </x:c>
      <x:c r="D9" s="41" t="inlineStr">
        <x:is>
          <x:t xml:space="preserve">立项审核权限</x:t>
        </x:is>
      </x:c>
      <x:c r="E9" s="42" t="inlineStr">
        <x:is>
          <x:t xml:space="preserve">未验收</x:t>
        </x:is>
      </x:c>
      <x:c r="F9" s="42" t="n"/>
      <x:c r="G9" s="42" t="n"/>
      <x:c r="H9" s="56" t="n"/>
      <x:c r="I9" s="42" t="n"/>
      <x:c r="J9" s="41" t="inlineStr">
        <x:is>
          <x:t xml:space="preserve">PM / 企业教练 / 公司管理</x:t>
        </x:is>
      </x:c>
      <x:c r="K9" s="41" t="inlineStr">
        <x:is>
          <x:t xml:space="preserve">项目处于待审核；公司管理账号未兼任本项目教练。</x:t>
        </x:is>
      </x:c>
      <x:c r="L9" s="41" t="inlineStr">
        <x:is>
          <x:t xml:space="preserve">1. PM、成员尝试审核
2. 公司管理尝试审核
3. 本项目教练审核；另测技术管理员例外</x:t>
        </x:is>
      </x:c>
      <x:c r="M9" s="41" t="inlineStr">
        <x:is>
          <x:t xml:space="preserve">1. 普通 PM、成员和未兼任教练的公司管理不能审核
2. 本项目教练可审核；服务端同步约束权限</x:t>
        </x:is>
      </x:c>
      <x:c r="N9" s="41" t="inlineStr">
        <x:is>
          <x:t xml:space="preserve">各角色按钮截图与审核接口结果</x:t>
        </x:is>
      </x:c>
      <x:c r="O9" s="41" t="inlineStr">
        <x:is>
          <x:t xml:space="preserve">本次待核验</x:t>
        </x:is>
      </x:c>
      <x:c r="P9" s="41" t="inlineStr">
        <x:is>
          <x:t xml:space="preserve">业务规则</x:t>
        </x:is>
      </x:c>
      <x:c r="Q9" s="41" t="inlineStr">
        <x:is>
          <x:t xml:space="preserve">规则与权限口径
PROJECT_LIFECYCLE_AND_PERMISSIONS.md</x:t>
        </x:is>
      </x:c>
      <x:c r="R9" s="41" t="str">
        <x:f>IF(E9="通过",IF(LEN(TRIM(F9))&gt;0,"计入通过","待补证据"),"未通过")</x:f>
        <x:v>未通过</x:v>
      </x:c>
    </x:row>
    <x:row r="10" ht="94" customHeight="1">
      <x:c r="A10" s="41" t="inlineStr">
        <x:is>
          <x:t xml:space="preserve">A04</x:t>
        </x:is>
      </x:c>
      <x:c r="B10" s="41" t="inlineStr">
        <x:is>
          <x:t xml:space="preserve">身份与权限</x:t>
        </x:is>
      </x:c>
      <x:c r="C10" s="41" t="inlineStr">
        <x:is>
          <x:t xml:space="preserve">P0</x:t>
        </x:is>
      </x:c>
      <x:c r="D10" s="41" t="inlineStr">
        <x:is>
          <x:t xml:space="preserve">汇报最终确认权限</x:t>
        </x:is>
      </x:c>
      <x:c r="E10" s="42" t="inlineStr">
        <x:is>
          <x:t xml:space="preserve">未验收</x:t>
        </x:is>
      </x:c>
      <x:c r="F10" s="42" t="n"/>
      <x:c r="G10" s="42" t="n"/>
      <x:c r="H10" s="56" t="n"/>
      <x:c r="I10" s="42" t="n"/>
      <x:c r="J10" s="41" t="inlineStr">
        <x:is>
          <x:t xml:space="preserve">PM / 统筹人 / 教练 / 成员</x:t>
        </x:is>
      </x:c>
      <x:c r="K10" s="41" t="inlineStr">
        <x:is>
          <x:t xml:space="preserve">准备一条待确认汇报。</x:t>
        </x:is>
      </x:c>
      <x:c r="L10" s="41" t="inlineStr">
        <x:is>
          <x:t xml:space="preserve">1. 分别以成员、统筹人、教练尝试最终确认
2. 由本项目 PM 确认</x:t>
        </x:is>
      </x:c>
      <x:c r="M10" s="41" t="inlineStr">
        <x:is>
          <x:t xml:space="preserve">1. 统筹反馈与教练决策不替代 PM 最终确认
2. 无权账号直接调用接口仍被拒绝</x:t>
        </x:is>
      </x:c>
      <x:c r="N10" s="41" t="inlineStr">
        <x:is>
          <x:t xml:space="preserve">角色操作结果、确认记录与审计信息</x:t>
        </x:is>
      </x:c>
      <x:c r="O10" s="41" t="inlineStr">
        <x:is>
          <x:t xml:space="preserve">本次待核验</x:t>
        </x:is>
      </x:c>
      <x:c r="P10" s="41" t="inlineStr">
        <x:is>
          <x:t xml:space="preserve">业务规则</x:t>
        </x:is>
      </x:c>
      <x:c r="Q10" s="41" t="inlineStr">
        <x:is>
          <x:t xml:space="preserve">规则与权限口径
PROJECT_LIFECYCLE_AND_PERMISSIONS.md</x:t>
        </x:is>
      </x:c>
      <x:c r="R10" s="41" t="str">
        <x:f>IF(E10="通过",IF(LEN(TRIM(F10))&gt;0,"计入通过","待补证据"),"未通过")</x:f>
        <x:v>未通过</x:v>
      </x:c>
    </x:row>
    <x:row r="11" ht="94" customHeight="1">
      <x:c r="A11" s="41" t="inlineStr">
        <x:is>
          <x:t xml:space="preserve">A05</x:t>
        </x:is>
      </x:c>
      <x:c r="B11" s="41" t="inlineStr">
        <x:is>
          <x:t xml:space="preserve">身份与权限</x:t>
        </x:is>
      </x:c>
      <x:c r="C11" s="41" t="inlineStr">
        <x:is>
          <x:t xml:space="preserve">P0</x:t>
        </x:is>
      </x:c>
      <x:c r="D11" s="41" t="inlineStr">
        <x:is>
          <x:t xml:space="preserve">同名与改名后的身份正确性</x:t>
        </x:is>
      </x:c>
      <x:c r="E11" s="42" t="inlineStr">
        <x:is>
          <x:t xml:space="preserve">未验收</x:t>
        </x:is>
      </x:c>
      <x:c r="F11" s="42" t="n"/>
      <x:c r="G11" s="42" t="n"/>
      <x:c r="H11" s="56" t="n"/>
      <x:c r="I11" s="42" t="n"/>
      <x:c r="J11" s="41" t="inlineStr">
        <x:is>
          <x:t xml:space="preserve">两名同名人员 / PM</x:t>
        </x:is>
      </x:c>
      <x:c r="K11" s="41" t="inlineStr">
        <x:is>
          <x:t xml:space="preserve">两个人员同名但 ID 不同；另有已绑定 ID 的人员改名。</x:t>
        </x:is>
      </x:c>
      <x:c r="L11" s="41" t="inlineStr">
        <x:is>
          <x:t xml:space="preserve">1. 分别给两人分配任务并登录
2. 修改其中一人姓名后复查任务、权限和我的任务</x:t>
        </x:is>
      </x:c>
      <x:c r="M11" s="41" t="inlineStr">
        <x:is>
          <x:t xml:space="preserve">1. 按稳定人员 ID 识别与授权，不因同名串人
2. 改名不丢失原任务；有歧义的历史数据明确提示待核对</x:t>
        </x:is>
      </x:c>
      <x:c r="N11" s="41" t="inlineStr">
        <x:is>
          <x:t xml:space="preserve">人员 ID、任务归属及改名前后对照</x:t>
        </x:is>
      </x:c>
      <x:c r="O11" s="41" t="inlineStr">
        <x:is>
          <x:t xml:space="preserve">本次待核验</x:t>
        </x:is>
      </x:c>
      <x:c r="P11" s="41" t="inlineStr">
        <x:is>
          <x:t xml:space="preserve">业务规则</x:t>
        </x:is>
      </x:c>
      <x:c r="Q11" s="41" t="inlineStr">
        <x:is>
          <x:t xml:space="preserve">规则与权限口径
PROJECT_LIFECYCLE_AND_PERMISSIONS.md</x:t>
        </x:is>
      </x:c>
      <x:c r="R11" s="41" t="str">
        <x:f>IF(E11="通过",IF(LEN(TRIM(F11))&gt;0,"计入通过","待补证据"),"未通过")</x:f>
        <x:v>未通过</x:v>
      </x:c>
    </x:row>
    <x:row r="12" ht="94" customHeight="1">
      <x:c r="A12" s="41" t="inlineStr">
        <x:is>
          <x:t xml:space="preserve">A06</x:t>
        </x:is>
      </x:c>
      <x:c r="B12" s="41" t="inlineStr">
        <x:is>
          <x:t xml:space="preserve">身份与权限</x:t>
        </x:is>
      </x:c>
      <x:c r="C12" s="41" t="inlineStr">
        <x:is>
          <x:t xml:space="preserve">P0</x:t>
        </x:is>
      </x:c>
      <x:c r="D12" s="41" t="inlineStr">
        <x:is>
          <x:t xml:space="preserve">重复提交与跨项目引用保护</x:t>
        </x:is>
      </x:c>
      <x:c r="E12" s="42" t="inlineStr">
        <x:is>
          <x:t xml:space="preserve">未验收</x:t>
        </x:is>
      </x:c>
      <x:c r="F12" s="42" t="n"/>
      <x:c r="G12" s="42" t="n"/>
      <x:c r="H12" s="56" t="n"/>
      <x:c r="I12" s="42" t="n"/>
      <x:c r="J12" s="41" t="inlineStr">
        <x:is>
          <x:t xml:space="preserve">PM / 成员</x:t>
        </x:is>
      </x:c>
      <x:c r="K12" s="41" t="inlineStr">
        <x:is>
          <x:t xml:space="preserve">准备可重复提交的表单及另一项目的对象 ID。</x:t>
        </x:is>
      </x:c>
      <x:c r="L12" s="41" t="inlineStr">
        <x:is>
          <x:t xml:space="preserve">1. 双击保存或在响应慢时重试
2. 在请求中换用另一项目的任务或记录 ID</x:t>
        </x:is>
      </x:c>
      <x:c r="M12" s="41" t="inlineStr">
        <x:is>
          <x:t xml:space="preserve">1. 不重复创建任务、汇报或关联业务记录
2. 跨项目引用被拒绝，失败不留下部分写入</x:t>
        </x:is>
      </x:c>
      <x:c r="N12" s="41" t="inlineStr">
        <x:is>
          <x:t xml:space="preserve">操作录像或请求记录、前后记录数量</x:t>
        </x:is>
      </x:c>
      <x:c r="O12" s="41" t="inlineStr">
        <x:is>
          <x:t xml:space="preserve">本次待核验</x:t>
        </x:is>
      </x:c>
      <x:c r="P12" s="41" t="inlineStr">
        <x:is>
          <x:t xml:space="preserve">业务规则</x:t>
        </x:is>
      </x:c>
      <x:c r="Q12" s="41" t="inlineStr">
        <x:is>
          <x:t xml:space="preserve">规则与权限口径
PROJECT_LIFECYCLE_AND_PERMISSIONS.md</x:t>
        </x:is>
      </x:c>
      <x:c r="R12" s="41" t="str">
        <x:f>IF(E12="通过",IF(LEN(TRIM(F12))&gt;0,"计入通过","待补证据"),"未通过")</x:f>
        <x:v>未通过</x:v>
      </x:c>
    </x:row>
    <x:row r="13" ht="94" customHeight="1">
      <x:c r="A13" s="41" t="inlineStr">
        <x:is>
          <x:t xml:space="preserve">B01</x:t>
        </x:is>
      </x:c>
      <x:c r="B13" s="41" t="inlineStr">
        <x:is>
          <x:t xml:space="preserve">立项与审核</x:t>
        </x:is>
      </x:c>
      <x:c r="C13" s="41" t="inlineStr">
        <x:is>
          <x:t xml:space="preserve">P0</x:t>
        </x:is>
      </x:c>
      <x:c r="D13" s="41" t="inlineStr">
        <x:is>
          <x:t xml:space="preserve">新建只建立项目草稿</x:t>
        </x:is>
      </x:c>
      <x:c r="E13" s="42" t="inlineStr">
        <x:is>
          <x:t xml:space="preserve">未验收</x:t>
        </x:is>
      </x:c>
      <x:c r="F13" s="42" t="n"/>
      <x:c r="G13" s="42" t="n"/>
      <x:c r="H13" s="56" t="n"/>
      <x:c r="I13" s="42" t="n"/>
      <x:c r="J13" s="41" t="inlineStr">
        <x:is>
          <x:t xml:space="preserve">公司管理</x:t>
        </x:is>
      </x:c>
      <x:c r="K13" s="41" t="inlineStr">
        <x:is>
          <x:t xml:space="preserve">账号具有建项权限。</x:t>
        </x:is>
      </x:c>
      <x:c r="L13" s="41" t="inlineStr">
        <x:is>
          <x:t xml:space="preserve">1. 填写项目名称与基础资料并保存
2. 刷新项目列表与详情</x:t>
        </x:is>
      </x:c>
      <x:c r="M13" s="41" t="inlineStr">
        <x:is>
          <x:t xml:space="preserve">1. 状态为草稿；保存后未进入进行中
2. 显示下一步检查与下发入口，已填写资料一致</x:t>
        </x:is>
      </x:c>
      <x:c r="N13" s="41" t="inlineStr">
        <x:is>
          <x:t xml:space="preserve">项目详情、保存结果与刷新后截图</x:t>
        </x:is>
      </x:c>
      <x:c r="O13" s="41" t="inlineStr">
        <x:is>
          <x:t xml:space="preserve">历史有记录</x:t>
        </x:is>
      </x:c>
      <x:c r="P13" s="41" t="inlineStr">
        <x:is>
          <x:t xml:space="preserve">业务规则</x:t>
        </x:is>
      </x:c>
      <x:c r="Q13" s="41" t="inlineStr">
        <x:is>
          <x:t xml:space="preserve">2026-10-12 本地立项验收
2026-10-12-project-initiation-continuity.md</x:t>
        </x:is>
      </x:c>
      <x:c r="R13" s="41" t="str">
        <x:f>IF(E13="通过",IF(LEN(TRIM(F13))&gt;0,"计入通过","待补证据"),"未通过")</x:f>
        <x:v>未通过</x:v>
      </x:c>
    </x:row>
    <x:row r="14" ht="94" customHeight="1">
      <x:c r="A14" s="41" t="inlineStr">
        <x:is>
          <x:t xml:space="preserve">B02</x:t>
        </x:is>
      </x:c>
      <x:c r="B14" s="41" t="inlineStr">
        <x:is>
          <x:t xml:space="preserve">立项与审核</x:t>
        </x:is>
      </x:c>
      <x:c r="C14" s="41" t="inlineStr">
        <x:is>
          <x:t xml:space="preserve">P1</x:t>
        </x:is>
      </x:c>
      <x:c r="D14" s="41" t="inlineStr">
        <x:is>
          <x:t xml:space="preserve">基础信息与目标边界</x:t>
        </x:is>
      </x:c>
      <x:c r="E14" s="42" t="inlineStr">
        <x:is>
          <x:t xml:space="preserve">未验收</x:t>
        </x:is>
      </x:c>
      <x:c r="F14" s="42" t="n"/>
      <x:c r="G14" s="42" t="n"/>
      <x:c r="H14" s="56" t="n"/>
      <x:c r="I14" s="42" t="n"/>
      <x:c r="J14" s="41" t="inlineStr">
        <x:is>
          <x:t xml:space="preserve">公司管理</x:t>
        </x:is>
      </x:c>
      <x:c r="K14" s="41" t="inlineStr">
        <x:is>
          <x:t xml:space="preserve">建立内部项目和客户项目各一个。</x:t>
        </x:is>
      </x:c>
      <x:c r="L14" s="41" t="inlineStr">
        <x:is>
          <x:t xml:space="preserve">1. 分别填写类型、客户、背景、目标、交付物和周期
2. 保存后重新打开</x:t>
        </x:is>
      </x:c>
      <x:c r="M14" s="41" t="inlineStr">
        <x:is>
          <x:t xml:space="preserve">1. 客户项目的客户名称校验有效
2. 长文本、中文与日期完整保存，目标和交付物表达清楚</x:t>
        </x:is>
      </x:c>
      <x:c r="N14" s="41" t="inlineStr">
        <x:is>
          <x:t xml:space="preserve">两类项目资料保存前后对照</x:t>
        </x:is>
      </x:c>
      <x:c r="O14" s="41" t="inlineStr">
        <x:is>
          <x:t xml:space="preserve">历史有记录</x:t>
        </x:is>
      </x:c>
      <x:c r="P14" s="41" t="inlineStr">
        <x:is>
          <x:t xml:space="preserve">业务规则</x:t>
        </x:is>
      </x:c>
      <x:c r="Q14" s="41" t="inlineStr">
        <x:is>
          <x:t xml:space="preserve">2026-10-12 本地立项验收
2026-10-12-project-initiation-continuity.md</x:t>
        </x:is>
      </x:c>
      <x:c r="R14" s="41" t="str">
        <x:f>IF(E14="通过",IF(LEN(TRIM(F14))&gt;0,"计入通过","待补证据"),"未通过")</x:f>
        <x:v>未通过</x:v>
      </x:c>
    </x:row>
    <x:row r="15" ht="94" customHeight="1">
      <x:c r="A15" s="41" t="inlineStr">
        <x:is>
          <x:t xml:space="preserve">B03</x:t>
        </x:is>
      </x:c>
      <x:c r="B15" s="41" t="inlineStr">
        <x:is>
          <x:t xml:space="preserve">立项与审核</x:t>
        </x:is>
      </x:c>
      <x:c r="C15" s="41" t="inlineStr">
        <x:is>
          <x:t xml:space="preserve">P0</x:t>
        </x:is>
      </x:c>
      <x:c r="D15" s="41" t="inlineStr">
        <x:is>
          <x:t xml:space="preserve">团队角色配置</x:t>
        </x:is>
      </x:c>
      <x:c r="E15" s="42" t="inlineStr">
        <x:is>
          <x:t xml:space="preserve">未验收</x:t>
        </x:is>
      </x:c>
      <x:c r="F15" s="42" t="n"/>
      <x:c r="G15" s="42" t="n"/>
      <x:c r="H15" s="56" t="n"/>
      <x:c r="I15" s="42" t="n"/>
      <x:c r="J15" s="41" t="inlineStr">
        <x:is>
          <x:t xml:space="preserve">公司管理</x:t>
        </x:is>
      </x:c>
      <x:c r="K15" s="41" t="inlineStr">
        <x:is>
          <x:t xml:space="preserve">项目为草稿，准备 PM 和教练人员。</x:t>
        </x:is>
      </x:c>
      <x:c r="L15" s="41" t="inlineStr">
        <x:is>
          <x:t xml:space="preserve">1. 配置负责人、企业教练、统筹人及成员
2. 保存并重开；测试允许的角色兼任</x:t>
        </x:is>
      </x:c>
      <x:c r="M15" s="41" t="inlineStr">
        <x:is>
          <x:t xml:space="preserve">1. 人员与角色保存正确
2. 列表与详情一致，不把已配置教练显示为未配置</x:t>
        </x:is>
      </x:c>
      <x:c r="N15" s="41" t="inlineStr">
        <x:is>
          <x:t xml:space="preserve">项目成员表与列表、详情截图</x:t>
        </x:is>
      </x:c>
      <x:c r="O15" s="41" t="inlineStr">
        <x:is>
          <x:t xml:space="preserve">历史有记录</x:t>
        </x:is>
      </x:c>
      <x:c r="P15" s="41" t="inlineStr">
        <x:is>
          <x:t xml:space="preserve">业务规则</x:t>
        </x:is>
      </x:c>
      <x:c r="Q15" s="41" t="inlineStr">
        <x:is>
          <x:t xml:space="preserve">2026-10-12 本地立项验收
2026-10-12-project-initiation-continuity.md</x:t>
        </x:is>
      </x:c>
      <x:c r="R15" s="41" t="str">
        <x:f>IF(E15="通过",IF(LEN(TRIM(F15))&gt;0,"计入通过","待补证据"),"未通过")</x:f>
        <x:v>未通过</x:v>
      </x:c>
    </x:row>
    <x:row r="16" ht="94" customHeight="1">
      <x:c r="A16" s="41" t="inlineStr">
        <x:is>
          <x:t xml:space="preserve">B04</x:t>
        </x:is>
      </x:c>
      <x:c r="B16" s="41" t="inlineStr">
        <x:is>
          <x:t xml:space="preserve">立项与审核</x:t>
        </x:is>
      </x:c>
      <x:c r="C16" s="41" t="inlineStr">
        <x:is>
          <x:t xml:space="preserve">P0</x:t>
        </x:is>
      </x:c>
      <x:c r="D16" s="41" t="inlineStr">
        <x:is>
          <x:t xml:space="preserve">下发条件与状态</x:t>
        </x:is>
      </x:c>
      <x:c r="E16" s="42" t="inlineStr">
        <x:is>
          <x:t xml:space="preserve">未验收</x:t>
        </x:is>
      </x:c>
      <x:c r="F16" s="42" t="n"/>
      <x:c r="G16" s="42" t="n"/>
      <x:c r="H16" s="56" t="n"/>
      <x:c r="I16" s="42" t="n"/>
      <x:c r="J16" s="41" t="inlineStr">
        <x:is>
          <x:t xml:space="preserve">公司管理</x:t>
        </x:is>
      </x:c>
      <x:c r="K16" s="41" t="inlineStr">
        <x:is>
          <x:t xml:space="preserve">准备缺目标、缺开始日期、缺 PM、缺教练四类草稿。</x:t>
        </x:is>
      </x:c>
      <x:c r="L16" s="41" t="inlineStr">
        <x:is>
          <x:t xml:space="preserve">1. 逐一尝试下发并核对提示
2. 补齐后下发；另测结束日期为空及早于开始日期</x:t>
        </x:is>
      </x:c>
      <x:c r="M16" s="41" t="inlineStr">
        <x:is>
          <x:t xml:space="preserve">1. 缺少必需条件时不能下发且指出具体缺项
2. 目标、开始日期、PM、教练齐全可下发为已派发；结束日期可空，填写时不得早于开始日期</x:t>
        </x:is>
      </x:c>
      <x:c r="N16" s="41" t="inlineStr">
        <x:is>
          <x:t xml:space="preserve">各缺项提示、成功后的状态</x:t>
        </x:is>
      </x:c>
      <x:c r="O16" s="41" t="inlineStr">
        <x:is>
          <x:t xml:space="preserve">历史有记录</x:t>
        </x:is>
      </x:c>
      <x:c r="P16" s="41" t="inlineStr">
        <x:is>
          <x:t xml:space="preserve">业务规则</x:t>
        </x:is>
      </x:c>
      <x:c r="Q16" s="41" t="inlineStr">
        <x:is>
          <x:t xml:space="preserve">2026-10-12 本地立项验收
2026-10-12-project-initiation-continuity.md</x:t>
        </x:is>
      </x:c>
      <x:c r="R16" s="41" t="str">
        <x:f>IF(E16="通过",IF(LEN(TRIM(F16))&gt;0,"计入通过","待补证据"),"未通过")</x:f>
        <x:v>未通过</x:v>
      </x:c>
    </x:row>
    <x:row r="17" ht="94" customHeight="1">
      <x:c r="A17" s="41" t="inlineStr">
        <x:is>
          <x:t xml:space="preserve">B05</x:t>
        </x:is>
      </x:c>
      <x:c r="B17" s="41" t="inlineStr">
        <x:is>
          <x:t xml:space="preserve">立项与审核</x:t>
        </x:is>
      </x:c>
      <x:c r="C17" s="41" t="inlineStr">
        <x:is>
          <x:t xml:space="preserve">P1</x:t>
        </x:is>
      </x:c>
      <x:c r="D17" s="41" t="inlineStr">
        <x:is>
          <x:t xml:space="preserve">负责人工作方案结构</x:t>
        </x:is>
      </x:c>
      <x:c r="E17" s="42" t="inlineStr">
        <x:is>
          <x:t xml:space="preserve">未验收</x:t>
        </x:is>
      </x:c>
      <x:c r="F17" s="42" t="n"/>
      <x:c r="G17" s="42" t="n"/>
      <x:c r="H17" s="56" t="n"/>
      <x:c r="I17" s="42" t="n"/>
      <x:c r="J17" s="41" t="inlineStr">
        <x:is>
          <x:t xml:space="preserve">PM</x:t>
        </x:is>
      </x:c>
      <x:c r="K17" s="41" t="inlineStr">
        <x:is>
          <x:t xml:space="preserve">项目已派发；验收样例采用 3 项重点工作、每项 2 个关键任务。</x:t>
        </x:is>
      </x:c>
      <x:c r="L17" s="41" t="inlineStr">
        <x:is>
          <x:t xml:space="preserve">1. 填写重点工作目标、验收标准与推进流程
2. 给关键任务填写负责人、协助人、计划时间与评价指标</x:t>
        </x:is>
      </x:c>
      <x:c r="M17" s="41" t="inlineStr">
        <x:is>
          <x:t xml:space="preserve">1. 清楚表达工作方向与具体任务的区别
2. 每项任务能回答谁做、何时做、完成依据是什么；样例数量仅为覆盖测试，不是系统硬性门槛</x:t>
        </x:is>
      </x:c>
      <x:c r="N17" s="41" t="inlineStr">
        <x:is>
          <x:t xml:space="preserve">完整方案预览与任务清单</x:t>
        </x:is>
      </x:c>
      <x:c r="O17" s="41" t="inlineStr">
        <x:is>
          <x:t xml:space="preserve">历史有记录</x:t>
        </x:is>
      </x:c>
      <x:c r="P17" s="41" t="inlineStr">
        <x:is>
          <x:t xml:space="preserve">业务验收</x:t>
        </x:is>
      </x:c>
      <x:c r="Q17" s="41" t="inlineStr">
        <x:is>
          <x:t xml:space="preserve">2026-10-12 本地立项验收
2026-10-12-project-initiation-continuity.md</x:t>
        </x:is>
      </x:c>
      <x:c r="R17" s="41" t="str">
        <x:f>IF(E17="通过",IF(LEN(TRIM(F17))&gt;0,"计入通过","待补证据"),"未通过")</x:f>
        <x:v>未通过</x:v>
      </x:c>
    </x:row>
    <x:row r="18" ht="94" customHeight="1">
      <x:c r="A18" s="41" t="inlineStr">
        <x:is>
          <x:t xml:space="preserve">B06</x:t>
        </x:is>
      </x:c>
      <x:c r="B18" s="41" t="inlineStr">
        <x:is>
          <x:t xml:space="preserve">立项与审核</x:t>
        </x:is>
      </x:c>
      <x:c r="C18" s="41" t="inlineStr">
        <x:is>
          <x:t xml:space="preserve">P0</x:t>
        </x:is>
      </x:c>
      <x:c r="D18" s="41" t="inlineStr">
        <x:is>
          <x:t xml:space="preserve">不完整草稿保存与刷新恢复</x:t>
        </x:is>
      </x:c>
      <x:c r="E18" s="42" t="inlineStr">
        <x:is>
          <x:t xml:space="preserve">未验收</x:t>
        </x:is>
      </x:c>
      <x:c r="F18" s="42" t="n"/>
      <x:c r="G18" s="42" t="n"/>
      <x:c r="H18" s="56" t="n"/>
      <x:c r="I18" s="42" t="n"/>
      <x:c r="J18" s="41" t="inlineStr">
        <x:is>
          <x:t xml:space="preserve">PM</x:t>
        </x:is>
      </x:c>
      <x:c r="K18" s="41" t="inlineStr">
        <x:is>
          <x:t xml:space="preserve">已派发项目，至少一项任务尚未填写完整。</x:t>
        </x:is>
      </x:c>
      <x:c r="L18" s="41" t="inlineStr">
        <x:is>
          <x:t xml:space="preserve">1. 填写部分内容并等待自动保存
2. 手动保存、刷新、离开再进入</x:t>
        </x:is>
      </x:c>
      <x:c r="M18" s="41" t="inlineStr">
        <x:is>
          <x:t xml:space="preserve">1. 不完整内容可暂存；状态仍为已派发
2. 名称、长文本、人员、日期恢复；保存失败明确提示并可重试</x:t>
        </x:is>
      </x:c>
      <x:c r="N18" s="41" t="inlineStr">
        <x:is>
          <x:t xml:space="preserve">保存状态、刷新前后字段对照</x:t>
        </x:is>
      </x:c>
      <x:c r="O18" s="41" t="inlineStr">
        <x:is>
          <x:t xml:space="preserve">历史有记录</x:t>
        </x:is>
      </x:c>
      <x:c r="P18" s="41" t="inlineStr">
        <x:is>
          <x:t xml:space="preserve">业务规则</x:t>
        </x:is>
      </x:c>
      <x:c r="Q18" s="41" t="inlineStr">
        <x:is>
          <x:t xml:space="preserve">2026-10-12 本地立项验收
2026-10-12-project-initiation-continuity.md</x:t>
        </x:is>
      </x:c>
      <x:c r="R18" s="41" t="str">
        <x:f>IF(E18="通过",IF(LEN(TRIM(F18))&gt;0,"计入通过","待补证据"),"未通过")</x:f>
        <x:v>未通过</x:v>
      </x:c>
    </x:row>
    <x:row r="19" ht="94" customHeight="1">
      <x:c r="A19" s="41" t="inlineStr">
        <x:is>
          <x:t xml:space="preserve">B07</x:t>
        </x:is>
      </x:c>
      <x:c r="B19" s="41" t="inlineStr">
        <x:is>
          <x:t xml:space="preserve">立项与审核</x:t>
        </x:is>
      </x:c>
      <x:c r="C19" s="41" t="inlineStr">
        <x:is>
          <x:t xml:space="preserve">P0</x:t>
        </x:is>
      </x:c>
      <x:c r="D19" s="41" t="inlineStr">
        <x:is>
          <x:t xml:space="preserve">提交方案与待审保护</x:t>
        </x:is>
      </x:c>
      <x:c r="E19" s="42" t="inlineStr">
        <x:is>
          <x:t xml:space="preserve">未验收</x:t>
        </x:is>
      </x:c>
      <x:c r="F19" s="42" t="n"/>
      <x:c r="G19" s="42" t="n"/>
      <x:c r="H19" s="56" t="n"/>
      <x:c r="I19" s="42" t="n"/>
      <x:c r="J19" s="41" t="inlineStr">
        <x:is>
          <x:t xml:space="preserve">PM</x:t>
        </x:is>
      </x:c>
      <x:c r="K19" s="41" t="inlineStr">
        <x:is>
          <x:t xml:space="preserve">完成至少一项重点工作及其关键任务，责任人可识别。</x:t>
        </x:is>
      </x:c>
      <x:c r="L19" s="41" t="inlineStr">
        <x:is>
          <x:t xml:space="preserve">1. 提交审核
2. 尝试重复提交、继续编辑以及直接设为进行中</x:t>
        </x:is>
      </x:c>
      <x:c r="M19" s="41" t="inlineStr">
        <x:is>
          <x:t xml:space="preserve">1. 提交后进入待审核
2. 待审方案只读；PM 无法直接通过审核；请求与状态一致</x:t>
        </x:is>
      </x:c>
      <x:c r="N19" s="41" t="inlineStr">
        <x:is>
          <x:t xml:space="preserve">提交回执、待审页面及服务端拒绝结果</x:t>
        </x:is>
      </x:c>
      <x:c r="O19" s="41" t="inlineStr">
        <x:is>
          <x:t xml:space="preserve">历史有记录</x:t>
        </x:is>
      </x:c>
      <x:c r="P19" s="41" t="inlineStr">
        <x:is>
          <x:t xml:space="preserve">业务规则</x:t>
        </x:is>
      </x:c>
      <x:c r="Q19" s="41" t="inlineStr">
        <x:is>
          <x:t xml:space="preserve">2026-10-12 本地立项验收
2026-10-12-project-initiation-continuity.md</x:t>
        </x:is>
      </x:c>
      <x:c r="R19" s="41" t="str">
        <x:f>IF(E19="通过",IF(LEN(TRIM(F19))&gt;0,"计入通过","待补证据"),"未通过")</x:f>
        <x:v>未通过</x:v>
      </x:c>
    </x:row>
    <x:row r="20" ht="94" customHeight="1">
      <x:c r="A20" s="41" t="inlineStr">
        <x:is>
          <x:t xml:space="preserve">B08</x:t>
        </x:is>
      </x:c>
      <x:c r="B20" s="41" t="inlineStr">
        <x:is>
          <x:t xml:space="preserve">立项与审核</x:t>
        </x:is>
      </x:c>
      <x:c r="C20" s="41" t="inlineStr">
        <x:is>
          <x:t xml:space="preserve">P1</x:t>
        </x:is>
      </x:c>
      <x:c r="D20" s="41" t="inlineStr">
        <x:is>
          <x:t xml:space="preserve">编辑预览审核内容一致</x:t>
        </x:is>
      </x:c>
      <x:c r="E20" s="42" t="inlineStr">
        <x:is>
          <x:t xml:space="preserve">未验收</x:t>
        </x:is>
      </x:c>
      <x:c r="F20" s="42" t="n"/>
      <x:c r="G20" s="42" t="n"/>
      <x:c r="H20" s="56" t="n"/>
      <x:c r="I20" s="42" t="n"/>
      <x:c r="J20" s="41" t="inlineStr">
        <x:is>
          <x:t xml:space="preserve">PM / 企业教练</x:t>
        </x:is>
      </x:c>
      <x:c r="K20" s="41" t="inlineStr">
        <x:is>
          <x:t xml:space="preserve">有多项工作、较长标准及完整任务安排。</x:t>
        </x:is>
      </x:c>
      <x:c r="L20" s="41" t="inlineStr">
        <x:is>
          <x:t xml:space="preserve">1. 对照编辑、完整预览和审核材料
2. 逐项核对目标、标准、任务、人员及日期</x:t>
        </x:is>
      </x:c>
      <x:c r="M20" s="41" t="inlineStr">
        <x:is>
          <x:t xml:space="preserve">1. 三种视图使用同一方案
2. 长内容可完整查看，无漏项、截断后无查看入口或人员日期错位</x:t>
        </x:is>
      </x:c>
      <x:c r="N20" s="41" t="inlineStr">
        <x:is>
          <x:t xml:space="preserve">三种视图的同一条目对照</x:t>
        </x:is>
      </x:c>
      <x:c r="O20" s="41" t="inlineStr">
        <x:is>
          <x:t xml:space="preserve">历史有记录</x:t>
        </x:is>
      </x:c>
      <x:c r="P20" s="41" t="inlineStr">
        <x:is>
          <x:t xml:space="preserve">业务规则</x:t>
        </x:is>
      </x:c>
      <x:c r="Q20" s="41" t="inlineStr">
        <x:is>
          <x:t xml:space="preserve">2026-10-12 本地立项验收
2026-10-12-project-initiation-continuity.md</x:t>
        </x:is>
      </x:c>
      <x:c r="R20" s="41" t="str">
        <x:f>IF(E20="通过",IF(LEN(TRIM(F20))&gt;0,"计入通过","待补证据"),"未通过")</x:f>
        <x:v>未通过</x:v>
      </x:c>
    </x:row>
    <x:row r="21" ht="94" customHeight="1">
      <x:c r="A21" s="41" t="inlineStr">
        <x:is>
          <x:t xml:space="preserve">B09</x:t>
        </x:is>
      </x:c>
      <x:c r="B21" s="41" t="inlineStr">
        <x:is>
          <x:t xml:space="preserve">立项与审核</x:t>
        </x:is>
      </x:c>
      <x:c r="C21" s="41" t="inlineStr">
        <x:is>
          <x:t xml:space="preserve">P0</x:t>
        </x:is>
      </x:c>
      <x:c r="D21" s="41" t="inlineStr">
        <x:is>
          <x:t xml:space="preserve">退回意见与原方案修订</x:t>
        </x:is>
      </x:c>
      <x:c r="E21" s="42" t="inlineStr">
        <x:is>
          <x:t xml:space="preserve">未验收</x:t>
        </x:is>
      </x:c>
      <x:c r="F21" s="42" t="n"/>
      <x:c r="G21" s="42" t="n"/>
      <x:c r="H21" s="56" t="n"/>
      <x:c r="I21" s="42" t="n"/>
      <x:c r="J21" s="41" t="inlineStr">
        <x:is>
          <x:t xml:space="preserve">企业教练 / PM</x:t>
        </x:is>
      </x:c>
      <x:c r="K21" s="41" t="inlineStr">
        <x:is>
          <x:t xml:space="preserve">项目待审核。</x:t>
        </x:is>
      </x:c>
      <x:c r="L21" s="41" t="inlineStr">
        <x:is>
          <x:t xml:space="preserve">1. 教练填写意见并退回
2. PM 重开，按意见修改并重新提交</x:t>
        </x:is>
      </x:c>
      <x:c r="M21" s="41" t="inlineStr">
        <x:is>
          <x:t xml:space="preserve">1. 退回后状态为已退回，意见可见
2. 原方案保留，重提后再次待审核，无需重新录入全部内容</x:t>
        </x:is>
      </x:c>
      <x:c r="N21" s="41" t="inlineStr">
        <x:is>
          <x:t xml:space="preserve">意见、退回状态、重提前后方案</x:t>
        </x:is>
      </x:c>
      <x:c r="O21" s="41" t="inlineStr">
        <x:is>
          <x:t xml:space="preserve">历史有记录</x:t>
        </x:is>
      </x:c>
      <x:c r="P21" s="41" t="inlineStr">
        <x:is>
          <x:t xml:space="preserve">业务规则</x:t>
        </x:is>
      </x:c>
      <x:c r="Q21" s="41" t="inlineStr">
        <x:is>
          <x:t xml:space="preserve">2026-10-12 本地立项验收
2026-10-12-project-initiation-continuity.md</x:t>
        </x:is>
      </x:c>
      <x:c r="R21" s="41" t="str">
        <x:f>IF(E21="通过",IF(LEN(TRIM(F21))&gt;0,"计入通过","待补证据"),"未通过")</x:f>
        <x:v>未通过</x:v>
      </x:c>
    </x:row>
    <x:row r="22" ht="94" customHeight="1">
      <x:c r="A22" s="41" t="inlineStr">
        <x:is>
          <x:t xml:space="preserve">B10</x:t>
        </x:is>
      </x:c>
      <x:c r="B22" s="41" t="inlineStr">
        <x:is>
          <x:t xml:space="preserve">立项与审核</x:t>
        </x:is>
      </x:c>
      <x:c r="C22" s="41" t="inlineStr">
        <x:is>
          <x:t xml:space="preserve">P0</x:t>
        </x:is>
      </x:c>
      <x:c r="D22" s="41" t="inlineStr">
        <x:is>
          <x:t xml:space="preserve">改名保持关联与删除保护</x:t>
        </x:is>
      </x:c>
      <x:c r="E22" s="42" t="inlineStr">
        <x:is>
          <x:t xml:space="preserve">未验收</x:t>
        </x:is>
      </x:c>
      <x:c r="F22" s="42" t="n"/>
      <x:c r="G22" s="42" t="n"/>
      <x:c r="H22" s="56" t="n"/>
      <x:c r="I22" s="42" t="n"/>
      <x:c r="J22" s="41" t="inlineStr">
        <x:is>
          <x:t xml:space="preserve">PM</x:t>
        </x:is>
      </x:c>
      <x:c r="K22" s="41" t="inlineStr">
        <x:is>
          <x:t xml:space="preserve">退回方案中含已存在的任务；另有任务关联汇报或问题。</x:t>
        </x:is>
      </x:c>
      <x:c r="L22" s="41" t="inlineStr">
        <x:is>
          <x:t xml:space="preserve">1. 改名并重新提交
2. 新建同名但不同工作的条目
3. 尝试移除已有业务关联的任务</x:t>
        </x:is>
      </x:c>
      <x:c r="M22" s="41" t="inlineStr">
        <x:is>
          <x:t xml:space="preserve">1. 改名保留稳定 ID 与关联记录
2. 新同名条目不会覆盖原条目；关联对象受到删除保护，失败完整回滚</x:t>
        </x:is>
      </x:c>
      <x:c r="N22" s="41" t="inlineStr">
        <x:is>
          <x:t xml:space="preserve">任务 ID 对照、关联记录及删除拒绝结果</x:t>
        </x:is>
      </x:c>
      <x:c r="O22" s="41" t="inlineStr">
        <x:is>
          <x:t xml:space="preserve">历史有记录</x:t>
        </x:is>
      </x:c>
      <x:c r="P22" s="41" t="inlineStr">
        <x:is>
          <x:t xml:space="preserve">业务规则</x:t>
        </x:is>
      </x:c>
      <x:c r="Q22" s="41" t="inlineStr">
        <x:is>
          <x:t xml:space="preserve">2026-10-12 本地立项验收
2026-10-12-project-initiation-continuity.md</x:t>
        </x:is>
      </x:c>
      <x:c r="R22" s="41" t="str">
        <x:f>IF(E22="通过",IF(LEN(TRIM(F22))&gt;0,"计入通过","待补证据"),"未通过")</x:f>
        <x:v>未通过</x:v>
      </x:c>
    </x:row>
    <x:row r="23" ht="94" customHeight="1">
      <x:c r="A23" s="41" t="inlineStr">
        <x:is>
          <x:t xml:space="preserve">B11</x:t>
        </x:is>
      </x:c>
      <x:c r="B23" s="41" t="inlineStr">
        <x:is>
          <x:t xml:space="preserve">立项与审核</x:t>
        </x:is>
      </x:c>
      <x:c r="C23" s="41" t="inlineStr">
        <x:is>
          <x:t xml:space="preserve">P0</x:t>
        </x:is>
      </x:c>
      <x:c r="D23" s="41" t="inlineStr">
        <x:is>
          <x:t xml:space="preserve">审核通过直接进入执行</x:t>
        </x:is>
      </x:c>
      <x:c r="E23" s="42" t="inlineStr">
        <x:is>
          <x:t xml:space="preserve">未验收</x:t>
        </x:is>
      </x:c>
      <x:c r="F23" s="42" t="n"/>
      <x:c r="G23" s="42" t="n"/>
      <x:c r="H23" s="56" t="n"/>
      <x:c r="I23" s="42" t="n"/>
      <x:c r="J23" s="41" t="inlineStr">
        <x:is>
          <x:t xml:space="preserve">本项目企业教练</x:t>
        </x:is>
      </x:c>
      <x:c r="K23" s="41" t="inlineStr">
        <x:is>
          <x:t xml:space="preserve">项目为待审核，方案核对完成。</x:t>
        </x:is>
      </x:c>
      <x:c r="L23" s="41" t="inlineStr">
        <x:is>
          <x:t xml:space="preserve">1. 审核通过
2. 打开项目详情与工作推进表</x:t>
        </x:is>
      </x:c>
      <x:c r="M23" s="41" t="inlineStr">
        <x:is>
          <x:t xml:space="preserve">1. 项目进入进行中；常规流程不新增待启动会门槛
2. 工作推进表与批准的方案对应，原人员、日期和标准不丢失</x:t>
        </x:is>
      </x:c>
      <x:c r="N23" s="41" t="inlineStr">
        <x:is>
          <x:t xml:space="preserve">项目状态、审核记录和推进表对照</x:t>
        </x:is>
      </x:c>
      <x:c r="O23" s="41" t="inlineStr">
        <x:is>
          <x:t xml:space="preserve">历史有记录</x:t>
        </x:is>
      </x:c>
      <x:c r="P23" s="41" t="inlineStr">
        <x:is>
          <x:t xml:space="preserve">业务规则</x:t>
        </x:is>
      </x:c>
      <x:c r="Q23" s="41" t="inlineStr">
        <x:is>
          <x:t xml:space="preserve">2026-10-12 本地立项验收
2026-10-12-project-initiation-continuity.md</x:t>
        </x:is>
      </x:c>
      <x:c r="R23" s="41" t="str">
        <x:f>IF(E23="通过",IF(LEN(TRIM(F23))&gt;0,"计入通过","待补证据"),"未通过")</x:f>
        <x:v>未通过</x:v>
      </x:c>
    </x:row>
    <x:row r="24" ht="94" customHeight="1">
      <x:c r="A24" s="41" t="inlineStr">
        <x:is>
          <x:t xml:space="preserve">B12</x:t>
        </x:is>
      </x:c>
      <x:c r="B24" s="41" t="inlineStr">
        <x:is>
          <x:t xml:space="preserve">立项与审核</x:t>
        </x:is>
      </x:c>
      <x:c r="C24" s="41" t="inlineStr">
        <x:is>
          <x:t xml:space="preserve">P0</x:t>
        </x:is>
      </x:c>
      <x:c r="D24" s="41" t="inlineStr">
        <x:is>
          <x:t xml:space="preserve">立项资料完整保存与隔离</x:t>
        </x:is>
      </x:c>
      <x:c r="E24" s="42" t="inlineStr">
        <x:is>
          <x:t xml:space="preserve">未验收</x:t>
        </x:is>
      </x:c>
      <x:c r="F24" s="42" t="n"/>
      <x:c r="G24" s="42" t="n"/>
      <x:c r="H24" s="56" t="n"/>
      <x:c r="I24" s="42" t="n"/>
      <x:c r="J24" s="41" t="inlineStr">
        <x:is>
          <x:t xml:space="preserve">PM / 企业教练</x:t>
        </x:is>
      </x:c>
      <x:c r="K24" s="41" t="inlineStr">
        <x:is>
          <x:t xml:space="preserve">同项目有不同人员，另有第二个项目。</x:t>
        </x:is>
      </x:c>
      <x:c r="L24" s="41" t="inlineStr">
        <x:is>
          <x:t xml:space="preserve">1. 分别暂存方案并跨账号、跨项目查看
2. 完成正式提交后再次打开</x:t>
        </x:is>
      </x:c>
      <x:c r="M24" s="41" t="inlineStr">
        <x:is>
          <x:t xml:space="preserve">1. 私人草稿按项目与人员隔离，教练只审正式提交内容
2. 正式提交成功后不被旧私人草稿覆盖</x:t>
        </x:is>
      </x:c>
      <x:c r="N24" s="41" t="inlineStr">
        <x:is>
          <x:t xml:space="preserve">不同账号、不同项目的草稿和正式方案对照</x:t>
        </x:is>
      </x:c>
      <x:c r="O24" s="41" t="inlineStr">
        <x:is>
          <x:t xml:space="preserve">历史有记录</x:t>
        </x:is>
      </x:c>
      <x:c r="P24" s="41" t="inlineStr">
        <x:is>
          <x:t xml:space="preserve">业务规则</x:t>
        </x:is>
      </x:c>
      <x:c r="Q24" s="41" t="inlineStr">
        <x:is>
          <x:t xml:space="preserve">2026-10-12 本地立项验收
2026-10-12-project-initiation-continuity.md</x:t>
        </x:is>
      </x:c>
      <x:c r="R24" s="41" t="str">
        <x:f>IF(E24="通过",IF(LEN(TRIM(F24))&gt;0,"计入通过","待补证据"),"未通过")</x:f>
        <x:v>未通过</x:v>
      </x:c>
    </x:row>
    <x:row r="25" ht="94" customHeight="1">
      <x:c r="A25" s="41" t="inlineStr">
        <x:is>
          <x:t xml:space="preserve">C01</x:t>
        </x:is>
      </x:c>
      <x:c r="B25" s="41" t="inlineStr">
        <x:is>
          <x:t xml:space="preserve">工作推进表</x:t>
        </x:is>
      </x:c>
      <x:c r="C25" s="41" t="inlineStr">
        <x:is>
          <x:t xml:space="preserve">P0</x:t>
        </x:is>
      </x:c>
      <x:c r="D25" s="41" t="inlineStr">
        <x:is>
          <x:t xml:space="preserve">批准方案成为推进表基线</x:t>
        </x:is>
      </x:c>
      <x:c r="E25" s="42" t="inlineStr">
        <x:is>
          <x:t xml:space="preserve">未验收</x:t>
        </x:is>
      </x:c>
      <x:c r="F25" s="42" t="n"/>
      <x:c r="G25" s="42" t="n"/>
      <x:c r="H25" s="56" t="n"/>
      <x:c r="I25" s="42" t="n"/>
      <x:c r="J25" s="41" t="inlineStr">
        <x:is>
          <x:t xml:space="preserve">PM / 管理者</x:t>
        </x:is>
      </x:c>
      <x:c r="K25" s="41" t="inlineStr">
        <x:is>
          <x:t xml:space="preserve">有一份已批准、含多项工作的执行方案。</x:t>
        </x:is>
      </x:c>
      <x:c r="L25" s="41" t="inlineStr">
        <x:is>
          <x:t xml:space="preserve">1. 进入推进表
2. 对照已批准方案逐项核对
3. 进入任务后返回</x:t>
        </x:is>
      </x:c>
      <x:c r="M25" s="41" t="inlineStr">
        <x:is>
          <x:t xml:space="preserve">1. 重点工作、关键任务、责任人、协助人、日期与标准一致
2. 不产生第二套重复任务；查看与后续更新关联同一任务 ID</x:t>
        </x:is>
      </x:c>
      <x:c r="N25" s="41" t="inlineStr">
        <x:is>
          <x:t xml:space="preserve">批准材料与推进表同 ID 对照</x:t>
        </x:is>
      </x:c>
      <x:c r="O25" s="41" t="inlineStr">
        <x:is>
          <x:t xml:space="preserve">本次待核验</x:t>
        </x:is>
      </x:c>
      <x:c r="P25" s="41" t="inlineStr">
        <x:is>
          <x:t xml:space="preserve">业务规则</x:t>
        </x:is>
      </x:c>
      <x:c r="Q25" s="41" t="inlineStr">
        <x:is>
          <x:t xml:space="preserve">规则与权限口径
PROJECT_LIFECYCLE_AND_PERMISSIONS.md</x:t>
        </x:is>
      </x:c>
      <x:c r="R25" s="41" t="str">
        <x:f>IF(E25="通过",IF(LEN(TRIM(F25))&gt;0,"计入通过","待补证据"),"未通过")</x:f>
        <x:v>未通过</x:v>
      </x:c>
    </x:row>
    <x:row r="26" ht="94" customHeight="1">
      <x:c r="A26" s="41" t="inlineStr">
        <x:is>
          <x:t xml:space="preserve">C02</x:t>
        </x:is>
      </x:c>
      <x:c r="B26" s="41" t="inlineStr">
        <x:is>
          <x:t xml:space="preserve">工作推进表</x:t>
        </x:is>
      </x:c>
      <x:c r="C26" s="41" t="inlineStr">
        <x:is>
          <x:t xml:space="preserve">P1</x:t>
        </x:is>
      </x:c>
      <x:c r="D26" s="41" t="inlineStr">
        <x:is>
          <x:t xml:space="preserve">全项目管理概览</x:t>
        </x:is>
      </x:c>
      <x:c r="E26" s="42" t="inlineStr">
        <x:is>
          <x:t xml:space="preserve">未验收</x:t>
        </x:is>
      </x:c>
      <x:c r="F26" s="42" t="n"/>
      <x:c r="G26" s="42" t="n"/>
      <x:c r="H26" s="56" t="n"/>
      <x:c r="I26" s="42" t="n"/>
      <x:c r="J26" s="41" t="inlineStr">
        <x:is>
          <x:t xml:space="preserve">管理者</x:t>
        </x:is>
      </x:c>
      <x:c r="K26" s="41" t="inlineStr">
        <x:is>
          <x:t xml:space="preserve">样例同时含未开始、进行中、完成、延期和问题任务。</x:t>
        </x:is>
      </x:c>
      <x:c r="L26" s="41" t="inlineStr">
        <x:is>
          <x:t xml:space="preserve">1. 核对总数、完成、延期与未解决问题指标
2. 点击各指标</x:t>
        </x:is>
      </x:c>
      <x:c r="M26" s="41" t="inlineStr">
        <x:is>
          <x:t xml:space="preserve">1. 数字可由明细复算，明确统计任务数还是问题条数
2. 指标可进入对应筛选；加载失败不显示为零问题</x:t>
        </x:is>
      </x:c>
      <x:c r="N26" s="41" t="inlineStr">
        <x:is>
          <x:t xml:space="preserve">指标与逐条明细核算表</x:t>
        </x:is>
      </x:c>
      <x:c r="O26" s="41" t="inlineStr">
        <x:is>
          <x:t xml:space="preserve">拟定改版目标</x:t>
        </x:is>
      </x:c>
      <x:c r="P26" s="41" t="inlineStr">
        <x:is>
          <x:t xml:space="preserve">拟定改版目标</x:t>
        </x:is>
      </x:c>
      <x:c r="Q26" s="41" t="inlineStr">
        <x:is>
          <x:t xml:space="preserve">推进表优化建议
2026-10-12-work-progress-optimization-review.md</x:t>
        </x:is>
      </x:c>
      <x:c r="R26" s="41" t="str">
        <x:f>IF(E26="通过",IF(LEN(TRIM(F26))&gt;0,"计入通过","待补证据"),"未通过")</x:f>
        <x:v>未通过</x:v>
      </x:c>
    </x:row>
    <x:row r="27" ht="94" customHeight="1">
      <x:c r="A27" s="41" t="inlineStr">
        <x:is>
          <x:t xml:space="preserve">C03</x:t>
        </x:is>
      </x:c>
      <x:c r="B27" s="41" t="inlineStr">
        <x:is>
          <x:t xml:space="preserve">工作推进表</x:t>
        </x:is>
      </x:c>
      <x:c r="C27" s="41" t="inlineStr">
        <x:is>
          <x:t xml:space="preserve">P1</x:t>
        </x:is>
      </x:c>
      <x:c r="D27" s="41" t="inlineStr">
        <x:is>
          <x:t xml:space="preserve">重点工作分组与折叠</x:t>
        </x:is>
      </x:c>
      <x:c r="E27" s="42" t="inlineStr">
        <x:is>
          <x:t xml:space="preserve">未验收</x:t>
        </x:is>
      </x:c>
      <x:c r="F27" s="42" t="n"/>
      <x:c r="G27" s="42" t="n"/>
      <x:c r="H27" s="56" t="n"/>
      <x:c r="I27" s="42" t="n"/>
      <x:c r="J27" s="41" t="inlineStr">
        <x:is>
          <x:t xml:space="preserve">管理者</x:t>
        </x:is>
      </x:c>
      <x:c r="K27" s="41" t="inlineStr">
        <x:is>
          <x:t xml:space="preserve">至少 3 项重点工作，每组含多个任务。</x:t>
        </x:is>
      </x:c>
      <x:c r="L27" s="41" t="inlineStr">
        <x:is>
          <x:t xml:space="preserve">1. 展开、折叠不同分组
2. 查看组内任务及完成、异常汇总</x:t>
        </x:is>
      </x:c>
      <x:c r="M27" s="41" t="inlineStr">
        <x:is>
          <x:t xml:space="preserve">1. 分组层级清楚，任务不会错组
2. 折叠不改变数据；组内统计与明细一致；长标题可读</x:t>
        </x:is>
      </x:c>
      <x:c r="N27" s="41" t="inlineStr">
        <x:is>
          <x:t xml:space="preserve">多组展开与折叠截图</x:t>
        </x:is>
      </x:c>
      <x:c r="O27" s="41" t="inlineStr">
        <x:is>
          <x:t xml:space="preserve">拟定改版目标</x:t>
        </x:is>
      </x:c>
      <x:c r="P27" s="41" t="inlineStr">
        <x:is>
          <x:t xml:space="preserve">拟定改版目标</x:t>
        </x:is>
      </x:c>
      <x:c r="Q27" s="41" t="inlineStr">
        <x:is>
          <x:t xml:space="preserve">推进表优化建议
2026-10-12-work-progress-optimization-review.md</x:t>
        </x:is>
      </x:c>
      <x:c r="R27" s="41" t="str">
        <x:f>IF(E27="通过",IF(LEN(TRIM(F27))&gt;0,"计入通过","待补证据"),"未通过")</x:f>
        <x:v>未通过</x:v>
      </x:c>
    </x:row>
    <x:row r="28" ht="94" customHeight="1">
      <x:c r="A28" s="41" t="inlineStr">
        <x:is>
          <x:t xml:space="preserve">C04</x:t>
        </x:is>
      </x:c>
      <x:c r="B28" s="41" t="inlineStr">
        <x:is>
          <x:t xml:space="preserve">工作推进表</x:t>
        </x:is>
      </x:c>
      <x:c r="C28" s="41" t="inlineStr">
        <x:is>
          <x:t xml:space="preserve">P1</x:t>
        </x:is>
      </x:c>
      <x:c r="D28" s="41" t="inlineStr">
        <x:is>
          <x:t xml:space="preserve">关键进展在主要可视区</x:t>
        </x:is>
      </x:c>
      <x:c r="E28" s="42" t="inlineStr">
        <x:is>
          <x:t xml:space="preserve">未验收</x:t>
        </x:is>
      </x:c>
      <x:c r="F28" s="42" t="n"/>
      <x:c r="G28" s="42" t="n"/>
      <x:c r="H28" s="56" t="n"/>
      <x:c r="I28" s="42" t="n"/>
      <x:c r="J28" s="41" t="inlineStr">
        <x:is>
          <x:t xml:space="preserve">管理者</x:t>
        </x:is>
      </x:c>
      <x:c r="K28" s="41" t="inlineStr">
        <x:is>
          <x:t xml:space="preserve">桌面 1366×768 与 1440×900；填入较长进展、标准和下一步。</x:t>
        </x:is>
      </x:c>
      <x:c r="L28" s="41" t="inlineStr">
        <x:is>
          <x:t xml:space="preserve">1. 查看默认视图
2. 调整列宽并查看全文入口
3. 在 390×844 窄屏复查</x:t>
        </x:is>
      </x:c>
      <x:c r="M28" s="41" t="inlineStr">
        <x:is>
          <x:t xml:space="preserve">1. 桌面能同时辨认任务、负责人、时间、状态与进展摘要
2. 最新进展与下一步含义独立；完整内容可查看；窄屏有明确可用展示，不被裁切</x:t>
        </x:is>
      </x:c>
      <x:c r="N28" s="41" t="inlineStr">
        <x:is>
          <x:t xml:space="preserve">三个尺寸截图与长文本样例</x:t>
        </x:is>
      </x:c>
      <x:c r="O28" s="41" t="inlineStr">
        <x:is>
          <x:t xml:space="preserve">已知待修</x:t>
        </x:is>
      </x:c>
      <x:c r="P28" s="41" t="inlineStr">
        <x:is>
          <x:t xml:space="preserve">拟定改版目标</x:t>
        </x:is>
      </x:c>
      <x:c r="Q28" s="41" t="inlineStr">
        <x:is>
          <x:t xml:space="preserve">推进表优化建议
2026-10-12-work-progress-optimization-review.md</x:t>
        </x:is>
      </x:c>
      <x:c r="R28" s="41" t="str">
        <x:f>IF(E28="通过",IF(LEN(TRIM(F28))&gt;0,"计入通过","待补证据"),"未通过")</x:f>
        <x:v>未通过</x:v>
      </x:c>
    </x:row>
    <x:row r="29" ht="94" customHeight="1">
      <x:c r="A29" s="41" t="inlineStr">
        <x:is>
          <x:t xml:space="preserve">C05</x:t>
        </x:is>
      </x:c>
      <x:c r="B29" s="41" t="inlineStr">
        <x:is>
          <x:t xml:space="preserve">工作推进表</x:t>
        </x:is>
      </x:c>
      <x:c r="C29" s="41" t="inlineStr">
        <x:is>
          <x:t xml:space="preserve">P1</x:t>
        </x:is>
      </x:c>
      <x:c r="D29" s="41" t="inlineStr">
        <x:is>
          <x:t xml:space="preserve">常驻搜索与快捷筛选</x:t>
        </x:is>
      </x:c>
      <x:c r="E29" s="42" t="inlineStr">
        <x:is>
          <x:t xml:space="preserve">未验收</x:t>
        </x:is>
      </x:c>
      <x:c r="F29" s="42" t="n"/>
      <x:c r="G29" s="42" t="n"/>
      <x:c r="H29" s="56" t="n"/>
      <x:c r="I29" s="42" t="n"/>
      <x:c r="J29" s="41" t="inlineStr">
        <x:is>
          <x:t xml:space="preserve">管理者</x:t>
        </x:is>
      </x:c>
      <x:c r="K29" s="41" t="inlineStr">
        <x:is>
          <x:t xml:space="preserve">包含不同状态、风险及负责人的任务。</x:t>
        </x:is>
      </x:c>
      <x:c r="L29" s="41" t="inlineStr">
        <x:is>
          <x:t xml:space="preserve">1. 按名称搜索
2. 应用延期、有风险、问题及负责人条件
3. 清空条件</x:t>
        </x:is>
      </x:c>
      <x:c r="M29" s="41" t="inlineStr">
        <x:is>
          <x:t xml:space="preserve">1. 常用查询容易找到；已用条件明确可见
2. 结果、数量与条件一致；清空恢复全项目；风险与未解决问题各有准确含义</x:t>
        </x:is>
      </x:c>
      <x:c r="N29" s="41" t="inlineStr">
        <x:is>
          <x:t xml:space="preserve">筛选前后数据与可见条件</x:t>
        </x:is>
      </x:c>
      <x:c r="O29" s="41" t="inlineStr">
        <x:is>
          <x:t xml:space="preserve">拟定改版目标</x:t>
        </x:is>
      </x:c>
      <x:c r="P29" s="41" t="inlineStr">
        <x:is>
          <x:t xml:space="preserve">拟定改版目标</x:t>
        </x:is>
      </x:c>
      <x:c r="Q29" s="41" t="inlineStr">
        <x:is>
          <x:t xml:space="preserve">推进表优化建议
2026-10-12-work-progress-optimization-review.md</x:t>
        </x:is>
      </x:c>
      <x:c r="R29" s="41" t="str">
        <x:f>IF(E29="通过",IF(LEN(TRIM(F29))&gt;0,"计入通过","待补证据"),"未通过")</x:f>
        <x:v>未通过</x:v>
      </x:c>
    </x:row>
    <x:row r="30" ht="94" customHeight="1">
      <x:c r="A30" s="41" t="inlineStr">
        <x:is>
          <x:t xml:space="preserve">C06</x:t>
        </x:is>
      </x:c>
      <x:c r="B30" s="41" t="inlineStr">
        <x:is>
          <x:t xml:space="preserve">工作推进表</x:t>
        </x:is>
      </x:c>
      <x:c r="C30" s="41" t="inlineStr">
        <x:is>
          <x:t xml:space="preserve">P0</x:t>
        </x:is>
      </x:c>
      <x:c r="D30" s="41" t="inlineStr">
        <x:is>
          <x:t xml:space="preserve">切换项目后刷新保持一致</x:t>
        </x:is>
      </x:c>
      <x:c r="E30" s="42" t="inlineStr">
        <x:is>
          <x:t xml:space="preserve">通过</x:t>
        </x:is>
      </x:c>
      <x:c r="F30" s="42" t="inlineStr">
        <x:is>
          <x:t xml:space="preserve">Edge 隔离实测：项目1=隔离验收样例-风险标记-20261018，项目2=隔离验收样例-项目切换-20261018。由2切换到1后 URL 为 projectId=1，表格显示项目1专属任务；刷新仍保持1；打开并返回任务详情后仍为项目1；浏览器后退恢复2与项目2任务，前进恢复1与项目1任务。后端日志中 /api/tasks?project_id=1/2 与 /api/subtasks?project_id=1/2 均为200。数据库为临时隔离 SQLite（protected=false），单一合成超级管理员账号。</x:t>
        </x:is>
      </x:c>
      <x:c r="G30" s="42" t="inlineStr">
        <x:is>
          <x:t xml:space="preserve">Codex（自动化实测）</x:t>
        </x:is>
      </x:c>
      <x:c r="H30" s="56" t="n">
        <x:v>46313</x:v>
      </x:c>
      <x:c r="I30" s="42" t="inlineStr">
        <x:is>
          <x:t xml:space="preserve">验收批次保持未签收；正式账号和生产环境仍需复核。</x:t>
        </x:is>
      </x:c>
      <x:c r="J30" s="41" t="inlineStr">
        <x:is>
          <x:t xml:space="preserve">管理者</x:t>
        </x:is>
      </x:c>
      <x:c r="K30" s="41" t="inlineStr">
        <x:is>
          <x:t xml:space="preserve">两个可访问项目有不同任务。</x:t>
        </x:is>
      </x:c>
      <x:c r="L30" s="41" t="inlineStr">
        <x:is>
          <x:t xml:space="preserve">1. 从项目甲切到项目乙
2. 核对地址后刷新
3. 进入任务、返回，再用浏览器前进后退</x:t>
        </x:is>
      </x:c>
      <x:c r="M30" s="41" t="inlineStr">
        <x:is>
          <x:t xml:space="preserve">1. 选择、地址、接口范围和任务内容始终属于同一项目
2. 刷新不跳回原项目；返回保留该项目上下文</x:t>
        </x:is>
      </x:c>
      <x:c r="N30" s="41" t="inlineStr">
        <x:is>
          <x:t xml:space="preserve">地址栏与项目选择、刷新前后录像</x:t>
        </x:is>
      </x:c>
      <x:c r="O30" s="41" t="inlineStr">
        <x:is>
          <x:t xml:space="preserve">已知待修</x:t>
        </x:is>
      </x:c>
      <x:c r="P30" s="41" t="inlineStr">
        <x:is>
          <x:t xml:space="preserve">业务规则</x:t>
        </x:is>
      </x:c>
      <x:c r="Q30" s="41" t="inlineStr">
        <x:is>
          <x:t xml:space="preserve">推进表优化建议
2026-10-12-work-progress-optimization-review.md</x:t>
        </x:is>
      </x:c>
      <x:c r="R30" s="41" t="str">
        <x:f>IF(E30="通过",IF(LEN(TRIM(F30))&gt;0,"计入通过","待补证据"),"未通过")</x:f>
        <x:v>计入通过</x:v>
      </x:c>
    </x:row>
    <x:row r="31" ht="180" customHeight="1">
      <x:c r="A31" s="41" t="inlineStr">
        <x:is>
          <x:t xml:space="preserve">C07</x:t>
        </x:is>
      </x:c>
      <x:c r="B31" s="41" t="inlineStr">
        <x:is>
          <x:t xml:space="preserve">工作推进表</x:t>
        </x:is>
      </x:c>
      <x:c r="C31" s="41" t="inlineStr">
        <x:is>
          <x:t xml:space="preserve">P1</x:t>
        </x:is>
      </x:c>
      <x:c r="D31" s="41" t="inlineStr">
        <x:is>
          <x:t xml:space="preserve">任务详情与连续检查</x:t>
        </x:is>
      </x:c>
      <x:c r="E31" s="42" t="str">
        <x:v>通过</x:v>
      </x:c>
      <x:c r="F31" s="42" t="str">
        <x:v>本地隔离 SQLite、合成项目“验收隔离项目-D05”验证，推进表临时添加 20 条滚动样例。选中“待确认日期”并滚到列表中段，打开“C07验收滚动行-14”详情：详情以覆盖侧栏显示，URL 仍为 /work/tasks?projectId=1，焦点进入详情对话框。关闭后焦点返回原任务行；筛选仍选中、重点工作分组仍展开，列表回到打开前可见范围（样例行08—20）。定向焦点测试 1/1 通过，npm run build 成功。仅覆盖本地隔离环境和合成数据，不代表生产权限验证或业务签收。</x:v>
      </x:c>
      <x:c r="G31" s="42" t="str">
        <x:v>Codex（隔离验收）</x:v>
      </x:c>
      <x:c r="H31" s="56" t="str">
        <x:v>2026-10-19</x:v>
      </x:c>
      <x:c r="I31" s="42" t="str">
        <x:v>由业务验收人结合真实项目数据和实际浏览器环境复核滚动、筛选及详情连续检查体验后签收；本地合成数据验证不代表生产验收。</x:v>
      </x:c>
      <x:c r="J31" s="41" t="inlineStr">
        <x:is>
          <x:t xml:space="preserve">管理者</x:t>
        </x:is>
      </x:c>
      <x:c r="K31" s="41" t="inlineStr">
        <x:is>
          <x:t xml:space="preserve">已应用筛选并滚动到列表中部。</x:t>
        </x:is>
      </x:c>
      <x:c r="L31" s="41" t="inlineStr">
        <x:is>
          <x:t xml:space="preserve">1. 打开任务详情
2. 查看记录后关闭
3. 继续查看下一项任务</x:t>
        </x:is>
      </x:c>
      <x:c r="M31" s="41" t="inlineStr">
        <x:is>
          <x:t xml:space="preserve">1. 可追查完整目标、进展、下一步、问题和成果
2. 保留筛选、分组和滚动位置；侧栏方案实施后不强制离开整张表</x:t>
        </x:is>
      </x:c>
      <x:c r="N31" s="41" t="inlineStr">
        <x:is>
          <x:t xml:space="preserve">打开、关闭、继续检查的录屏</x:t>
        </x:is>
      </x:c>
      <x:c r="O31" s="41" t="inlineStr">
        <x:is>
          <x:t xml:space="preserve">拟定改版目标</x:t>
        </x:is>
      </x:c>
      <x:c r="P31" s="41" t="inlineStr">
        <x:is>
          <x:t xml:space="preserve">拟定改版目标</x:t>
        </x:is>
      </x:c>
      <x:c r="Q31" s="41" t="inlineStr">
        <x:is>
          <x:t xml:space="preserve">推进表优化建议
2026-10-12-work-progress-optimization-review.md</x:t>
        </x:is>
      </x:c>
      <x:c r="R31" s="41" t="str">
        <x:f>IF(E31="通过",IF(LEN(TRIM(F31))&gt;0,"计入通过","待补证据"),"未通过")</x:f>
        <x:v>计入通过</x:v>
      </x:c>
    </x:row>
    <x:row r="32" ht="94" customHeight="1">
      <x:c r="A32" s="41" t="inlineStr">
        <x:is>
          <x:t xml:space="preserve">C08</x:t>
        </x:is>
      </x:c>
      <x:c r="B32" s="41" t="inlineStr">
        <x:is>
          <x:t xml:space="preserve">工作推进表</x:t>
        </x:is>
      </x:c>
      <x:c r="C32" s="41" t="inlineStr">
        <x:is>
          <x:t xml:space="preserve">P0</x:t>
        </x:is>
      </x:c>
      <x:c r="D32" s="41" t="inlineStr">
        <x:is>
          <x:t xml:space="preserve">风险标记可用且失败可恢复</x:t>
        </x:is>
      </x:c>
      <x:c r="E32" s="42" t="inlineStr">
        <x:is>
          <x:t xml:space="preserve">未验收</x:t>
        </x:is>
      </x:c>
      <x:c r="F32" s="42" t="n"/>
      <x:c r="G32" s="42" t="n"/>
      <x:c r="H32" s="56" t="n"/>
      <x:c r="I32" s="42" t="n"/>
      <x:c r="J32" s="41" t="inlineStr">
        <x:is>
          <x:t xml:space="preserve">有风险管理权限的人员</x:t>
        </x:is>
      </x:c>
      <x:c r="K32" s="41" t="inlineStr">
        <x:is>
          <x:t xml:space="preserve">未完成任务；分别使用内置浏览器与目标正式浏览器。</x:t>
        </x:is>
      </x:c>
      <x:c r="L32" s="41" t="inlineStr">
        <x:is>
          <x:t xml:space="preserve">1. 打开标记风险，填写原因后取消
2. 再次打开并保存
3. 模拟保存失败，再重试及解除风险</x:t>
        </x:is>
      </x:c>
      <x:c r="M32" s="41" t="inlineStr">
        <x:is>
          <x:t xml:space="preserve">1. 页面内输入可打开和取消，无系统 prompt 兼容故障
2. 成功才更新风险；失败保留输入并显示原因；解除需明确操作且无越权</x:t>
        </x:is>
      </x:c>
      <x:c r="N32" s="41" t="inlineStr">
        <x:is>
          <x:t xml:space="preserve">两浏览器操作记录与风险审计</x:t>
        </x:is>
      </x:c>
      <x:c r="O32" s="41" t="inlineStr">
        <x:is>
          <x:t xml:space="preserve">已知待修</x:t>
        </x:is>
      </x:c>
      <x:c r="P32" s="41" t="inlineStr">
        <x:is>
          <x:t xml:space="preserve">业务规则</x:t>
        </x:is>
      </x:c>
      <x:c r="Q32" s="41" t="inlineStr">
        <x:is>
          <x:t xml:space="preserve">推进表优化建议
2026-10-12-work-progress-optimization-review.md</x:t>
        </x:is>
      </x:c>
      <x:c r="R32" s="41" t="str">
        <x:f>IF(E32="通过",IF(LEN(TRIM(F32))&gt;0,"计入通过","待补证据"),"未通过")</x:f>
        <x:v>未通过</x:v>
      </x:c>
    </x:row>
    <x:row r="33" ht="94" customHeight="1">
      <x:c r="A33" s="41" t="inlineStr">
        <x:is>
          <x:t xml:space="preserve">C09</x:t>
        </x:is>
      </x:c>
      <x:c r="B33" s="41" t="inlineStr">
        <x:is>
          <x:t xml:space="preserve">工作推进表</x:t>
        </x:is>
      </x:c>
      <x:c r="C33" s="41" t="inlineStr">
        <x:is>
          <x:t xml:space="preserve">P0</x:t>
        </x:is>
      </x:c>
      <x:c r="D33" s="41" t="inlineStr">
        <x:is>
          <x:t xml:space="preserve">延期判定与筛选一致</x:t>
        </x:is>
      </x:c>
      <x:c r="E33" s="42" t="inlineStr">
        <x:is>
          <x:t xml:space="preserve">未验收</x:t>
        </x:is>
      </x:c>
      <x:c r="F33" s="42" t="n"/>
      <x:c r="G33" s="42" t="n"/>
      <x:c r="H33" s="56" t="n"/>
      <x:c r="I33" s="42" t="n"/>
      <x:c r="J33" s="41" t="inlineStr">
        <x:is>
          <x:t xml:space="preserve">管理者</x:t>
        </x:is>
      </x:c>
      <x:c r="K33" s="41" t="inlineStr">
        <x:is>
          <x:t xml:space="preserve">含未来截止、已逾期未完成、已完成及无明确截止日期任务。</x:t>
        </x:is>
      </x:c>
      <x:c r="L33" s="41" t="inlineStr">
        <x:is>
          <x:t xml:space="preserve">1. 对照后端业务日期与状态
2. 核对延期标记及筛选</x:t>
        </x:is>
      </x:c>
      <x:c r="M33" s="41" t="inlineStr">
        <x:is>
          <x:t xml:space="preserve">1. 延期按既定截止日期与完成状态判定，完成项不继续误报
2. 模糊或缺日期不得臆造截止日；状态、指标和筛选一致</x:t>
        </x:is>
      </x:c>
      <x:c r="N33" s="41" t="inlineStr">
        <x:is>
          <x:t xml:space="preserve">日期样例、后端结果与页面标记</x:t>
        </x:is>
      </x:c>
      <x:c r="O33" s="41" t="inlineStr">
        <x:is>
          <x:t xml:space="preserve">本次待核验</x:t>
        </x:is>
      </x:c>
      <x:c r="P33" s="41" t="inlineStr">
        <x:is>
          <x:t xml:space="preserve">业务规则</x:t>
        </x:is>
      </x:c>
      <x:c r="Q33" s="41" t="inlineStr">
        <x:is>
          <x:t xml:space="preserve">规则与权限口径
PROJECT_LIFECYCLE_AND_PERMISSIONS.md</x:t>
        </x:is>
      </x:c>
      <x:c r="R33" s="41" t="str">
        <x:f>IF(E33="通过",IF(LEN(TRIM(F33))&gt;0,"计入通过","待补证据"),"未通过")</x:f>
        <x:v>未通过</x:v>
      </x:c>
    </x:row>
    <x:row r="34" ht="94" customHeight="1">
      <x:c r="A34" s="41" t="inlineStr">
        <x:is>
          <x:t xml:space="preserve">C10</x:t>
        </x:is>
      </x:c>
      <x:c r="B34" s="41" t="inlineStr">
        <x:is>
          <x:t xml:space="preserve">工作推进表</x:t>
        </x:is>
      </x:c>
      <x:c r="C34" s="41" t="inlineStr">
        <x:is>
          <x:t xml:space="preserve">P0</x:t>
        </x:is>
      </x:c>
      <x:c r="D34" s="41" t="inlineStr">
        <x:is>
          <x:t xml:space="preserve">正式进展与待确认区分</x:t>
        </x:is>
      </x:c>
      <x:c r="E34" s="42" t="inlineStr">
        <x:is>
          <x:t xml:space="preserve">未验收</x:t>
        </x:is>
      </x:c>
      <x:c r="F34" s="42" t="n"/>
      <x:c r="G34" s="42" t="n"/>
      <x:c r="H34" s="56" t="n"/>
      <x:c r="I34" s="42" t="n"/>
      <x:c r="J34" s="41" t="inlineStr">
        <x:is>
          <x:t xml:space="preserve">管理者 / PM</x:t>
        </x:is>
      </x:c>
      <x:c r="K34" s="41" t="inlineStr">
        <x:is>
          <x:t xml:space="preserve">同任务分别准备无汇报、待确认、已确认记录。</x:t>
        </x:is>
      </x:c>
      <x:c r="L34" s="41" t="inlineStr">
        <x:is>
          <x:t xml:space="preserve">1. 按三种情况查看推进表
2. 确认后刷新表格和任务详情</x:t>
        </x:is>
      </x:c>
      <x:c r="M34" s="41" t="inlineStr">
        <x:is>
          <x:t xml:space="preserve">1. 正式进展只使用已确认记录
2. 能解释无汇报与待确认的区别；确认人、时间、来源与摘要对应，不能把待审内容算作正式成果</x:t>
        </x:is>
      </x:c>
      <x:c r="N34" s="41" t="inlineStr">
        <x:is>
          <x:t xml:space="preserve">三种状态对照、原提交与确认记录</x:t>
        </x:is>
      </x:c>
      <x:c r="O34" s="41" t="inlineStr">
        <x:is>
          <x:t xml:space="preserve">拟定改版目标</x:t>
        </x:is>
      </x:c>
      <x:c r="P34" s="41" t="inlineStr">
        <x:is>
          <x:t xml:space="preserve">拟定改版目标</x:t>
        </x:is>
      </x:c>
      <x:c r="Q34" s="41" t="inlineStr">
        <x:is>
          <x:t xml:space="preserve">推进表优化建议
2026-10-12-work-progress-optimization-review.md</x:t>
        </x:is>
      </x:c>
      <x:c r="R34" s="41" t="str">
        <x:f>IF(E34="通过",IF(LEN(TRIM(F34))&gt;0,"计入通过","待补证据"),"未通过")</x:f>
        <x:v>未通过</x:v>
      </x:c>
    </x:row>
    <x:row r="35" ht="94" customHeight="1">
      <x:c r="A35" s="41" t="inlineStr">
        <x:is>
          <x:t xml:space="preserve">C11</x:t>
        </x:is>
      </x:c>
      <x:c r="B35" s="41" t="inlineStr">
        <x:is>
          <x:t xml:space="preserve">工作推进表</x:t>
        </x:is>
      </x:c>
      <x:c r="C35" s="41" t="inlineStr">
        <x:is>
          <x:t xml:space="preserve">P1</x:t>
        </x:is>
      </x:c>
      <x:c r="D35" s="41" t="inlineStr">
        <x:is>
          <x:t xml:space="preserve">关联问题可追查</x:t>
        </x:is>
      </x:c>
      <x:c r="E35" s="42" t="inlineStr">
        <x:is>
          <x:t xml:space="preserve">未验收</x:t>
        </x:is>
      </x:c>
      <x:c r="F35" s="42" t="n"/>
      <x:c r="G35" s="42" t="n"/>
      <x:c r="H35" s="56" t="n"/>
      <x:c r="I35" s="42" t="n"/>
      <x:c r="J35" s="41" t="inlineStr">
        <x:is>
          <x:t xml:space="preserve">管理者</x:t>
        </x:is>
      </x:c>
      <x:c r="K35" s="41" t="inlineStr">
        <x:is>
          <x:t xml:space="preserve">关键任务关联多个问题，状态含未解决和已关闭。</x:t>
        </x:is>
      </x:c>
      <x:c r="L35" s="41" t="inlineStr">
        <x:is>
          <x:t xml:space="preserve">1. 核对行内或详情问题数
2. 打开具体问题并处理
3. 返回表格</x:t>
        </x:is>
      </x:c>
      <x:c r="M35" s="41" t="inlineStr">
        <x:is>
          <x:t xml:space="preserve">1. 未解决数量按实际问题计算，不拿风险标签代替
2. 能看到问题内容、责任人、期限和处理状态；关闭后统计同步</x:t>
        </x:is>
      </x:c>
      <x:c r="N35" s="41" t="inlineStr">
        <x:is>
          <x:t xml:space="preserve">问题 ID、状态与数量对照</x:t>
        </x:is>
      </x:c>
      <x:c r="O35" s="41" t="inlineStr">
        <x:is>
          <x:t xml:space="preserve">拟定改版目标</x:t>
        </x:is>
      </x:c>
      <x:c r="P35" s="41" t="inlineStr">
        <x:is>
          <x:t xml:space="preserve">拟定改版目标</x:t>
        </x:is>
      </x:c>
      <x:c r="Q35" s="41" t="inlineStr">
        <x:is>
          <x:t xml:space="preserve">推进表优化建议
2026-10-12-work-progress-optimization-review.md</x:t>
        </x:is>
      </x:c>
      <x:c r="R35" s="41" t="str">
        <x:f>IF(E35="通过",IF(LEN(TRIM(F35))&gt;0,"计入通过","待补证据"),"未通过")</x:f>
        <x:v>未通过</x:v>
      </x:c>
    </x:row>
    <x:row r="36" ht="94" customHeight="1">
      <x:c r="A36" s="41" t="inlineStr">
        <x:is>
          <x:t xml:space="preserve">C12</x:t>
        </x:is>
      </x:c>
      <x:c r="B36" s="41" t="inlineStr">
        <x:is>
          <x:t xml:space="preserve">工作推进表</x:t>
        </x:is>
      </x:c>
      <x:c r="C36" s="41" t="inlineStr">
        <x:is>
          <x:t xml:space="preserve">P1</x:t>
        </x:is>
      </x:c>
      <x:c r="D36" s="41" t="inlineStr">
        <x:is>
          <x:t xml:space="preserve">字段显示与导出一致</x:t>
        </x:is>
      </x:c>
      <x:c r="E36" s="42" t="inlineStr">
        <x:is>
          <x:t xml:space="preserve">未验收</x:t>
        </x:is>
      </x:c>
      <x:c r="F36" s="42" t="n"/>
      <x:c r="G36" s="42" t="n"/>
      <x:c r="H36" s="56" t="n"/>
      <x:c r="I36" s="42" t="n"/>
      <x:c r="J36" s="41" t="inlineStr">
        <x:is>
          <x:t xml:space="preserve">PM / 管理者</x:t>
        </x:is>
      </x:c>
      <x:c r="K36" s="41" t="inlineStr">
        <x:is>
          <x:t xml:space="preserve">启用目标、预期成果等可选字段，包含中文及换行文本。</x:t>
        </x:is>
      </x:c>
      <x:c r="L36" s="41" t="inlineStr">
        <x:is>
          <x:t xml:space="preserve">1. 调整可见字段与列宽
2. 按当前项目和筛选导出 Excel
3. 打开导出文件核对</x:t>
        </x:is>
      </x:c>
      <x:c r="M36" s="41" t="inlineStr">
        <x:is>
          <x:t xml:space="preserve">1. 字段切换不修改业务值；配置范围与提示一致
2. 导出范围、任务层级、人员、日期和进展准确，无重复和截断</x:t>
        </x:is>
      </x:c>
      <x:c r="N36" s="41" t="inlineStr">
        <x:is>
          <x:t xml:space="preserve">页面条件、导出文件及对照结果</x:t>
        </x:is>
      </x:c>
      <x:c r="O36" s="41" t="inlineStr">
        <x:is>
          <x:t xml:space="preserve">本次待核验</x:t>
        </x:is>
      </x:c>
      <x:c r="P36" s="41" t="inlineStr">
        <x:is>
          <x:t xml:space="preserve">业务规则</x:t>
        </x:is>
      </x:c>
      <x:c r="Q36" s="41" t="inlineStr">
        <x:is>
          <x:t xml:space="preserve">规则与权限口径
PROJECT_LIFECYCLE_AND_PERMISSIONS.md</x:t>
        </x:is>
      </x:c>
      <x:c r="R36" s="41" t="str">
        <x:f>IF(E36="通过",IF(LEN(TRIM(F36))&gt;0,"计入通过","待补证据"),"未通过")</x:f>
        <x:v>未通过</x:v>
      </x:c>
    </x:row>
    <x:row r="37" ht="94" customHeight="1">
      <x:c r="A37" s="41" t="inlineStr">
        <x:is>
          <x:t xml:space="preserve">D01</x:t>
        </x:is>
      </x:c>
      <x:c r="B37" s="41" t="inlineStr">
        <x:is>
          <x:t xml:space="preserve">汇报与确认</x:t>
        </x:is>
      </x:c>
      <x:c r="C37" s="41" t="inlineStr">
        <x:is>
          <x:t xml:space="preserve">P0</x:t>
        </x:is>
      </x:c>
      <x:c r="D37" s="41" t="inlineStr">
        <x:is>
          <x:t xml:space="preserve">汇报绑定正确项目与任务</x:t>
        </x:is>
      </x:c>
      <x:c r="E37" s="42" t="inlineStr">
        <x:is>
          <x:t xml:space="preserve">未验收</x:t>
        </x:is>
      </x:c>
      <x:c r="F37" s="42" t="n"/>
      <x:c r="G37" s="42" t="n"/>
      <x:c r="H37" s="56" t="n"/>
      <x:c r="I37" s="42" t="n"/>
      <x:c r="J37" s="41" t="inlineStr">
        <x:is>
          <x:t xml:space="preserve">任务负责人 / 成员</x:t>
        </x:is>
      </x:c>
      <x:c r="K37" s="41" t="inlineStr">
        <x:is>
          <x:t xml:space="preserve">进行中项目中有多项任务。</x:t>
        </x:is>
      </x:c>
      <x:c r="L37" s="41" t="inlineStr">
        <x:is>
          <x:t xml:space="preserve">1. 从任务进入工作汇报
2. 另从全局汇报入口选择项目和任务</x:t>
        </x:is>
      </x:c>
      <x:c r="M37" s="41" t="inlineStr">
        <x:is>
          <x:t xml:space="preserve">1. 入口自动带入正确项目与任务；可见选择与实际提交 ID 一致
2. 不混入无权访问项目或另一任务数据</x:t>
        </x:is>
      </x:c>
      <x:c r="N37" s="41" t="inlineStr">
        <x:is>
          <x:t xml:space="preserve">入口地址、表单及请求绑定信息</x:t>
        </x:is>
      </x:c>
      <x:c r="O37" s="41" t="inlineStr">
        <x:is>
          <x:t xml:space="preserve">本次待核验</x:t>
        </x:is>
      </x:c>
      <x:c r="P37" s="41" t="inlineStr">
        <x:is>
          <x:t xml:space="preserve">业务规则</x:t>
        </x:is>
      </x:c>
      <x:c r="Q37" s="41" t="inlineStr">
        <x:is>
          <x:t xml:space="preserve">规则与权限口径
PROJECT_LIFECYCLE_AND_PERMISSIONS.md</x:t>
        </x:is>
      </x:c>
      <x:c r="R37" s="41" t="str">
        <x:f>IF(E37="通过",IF(LEN(TRIM(F37))&gt;0,"计入通过","待补证据"),"未通过")</x:f>
        <x:v>未通过</x:v>
      </x:c>
    </x:row>
    <x:row r="38" ht="94" customHeight="1">
      <x:c r="A38" s="41" t="inlineStr">
        <x:is>
          <x:t xml:space="preserve">D02</x:t>
        </x:is>
      </x:c>
      <x:c r="B38" s="41" t="inlineStr">
        <x:is>
          <x:t xml:space="preserve">汇报与确认</x:t>
        </x:is>
      </x:c>
      <x:c r="C38" s="41" t="inlineStr">
        <x:is>
          <x:t xml:space="preserve">P0</x:t>
        </x:is>
      </x:c>
      <x:c r="D38" s="41" t="inlineStr">
        <x:is>
          <x:t xml:space="preserve">AI 提取先预览后提交</x:t>
        </x:is>
      </x:c>
      <x:c r="E38" s="42" t="inlineStr">
        <x:is>
          <x:t xml:space="preserve">未验收</x:t>
        </x:is>
      </x:c>
      <x:c r="F38" s="42" t="n"/>
      <x:c r="G38" s="42" t="n"/>
      <x:c r="H38" s="56" t="n"/>
      <x:c r="I38" s="42" t="n"/>
      <x:c r="J38" s="41" t="inlineStr">
        <x:is>
          <x:t xml:space="preserve">汇报人</x:t>
        </x:is>
      </x:c>
      <x:c r="K38" s="41" t="inlineStr">
        <x:is>
          <x:t xml:space="preserve">准备含本次完成、下一步、问题和成果的文本。</x:t>
        </x:is>
      </x:c>
      <x:c r="L38" s="41" t="inlineStr">
        <x:is>
          <x:t xml:space="preserve">1. 输入并提取
2. 修改提取结果，取消一次
3. 重新提取并提交</x:t>
        </x:is>
      </x:c>
      <x:c r="M38" s="41" t="inlineStr">
        <x:is>
          <x:t xml:space="preserve">1. 提取结果可核对和修改，取消不写正式业务数据
2. 提交进入待确认；原文与结构化结果可追溯</x:t>
        </x:is>
      </x:c>
      <x:c r="N38" s="41" t="inlineStr">
        <x:is>
          <x:t xml:space="preserve">原文、提取结果、提交状态及正式库对照</x:t>
        </x:is>
      </x:c>
      <x:c r="O38" s="41" t="inlineStr">
        <x:is>
          <x:t xml:space="preserve">本次待核验</x:t>
        </x:is>
      </x:c>
      <x:c r="P38" s="41" t="inlineStr">
        <x:is>
          <x:t xml:space="preserve">业务规则</x:t>
        </x:is>
      </x:c>
      <x:c r="Q38" s="41" t="inlineStr">
        <x:is>
          <x:t xml:space="preserve">规则与权限口径
PROJECT_LIFECYCLE_AND_PERMISSIONS.md</x:t>
        </x:is>
      </x:c>
      <x:c r="R38" s="41" t="str">
        <x:f>IF(E38="通过",IF(LEN(TRIM(F38))&gt;0,"计入通过","待补证据"),"未通过")</x:f>
        <x:v>未通过</x:v>
      </x:c>
    </x:row>
    <x:row r="39" ht="94" customHeight="1">
      <x:c r="A39" s="41" t="inlineStr">
        <x:is>
          <x:t xml:space="preserve">D03</x:t>
        </x:is>
      </x:c>
      <x:c r="B39" s="41" t="inlineStr">
        <x:is>
          <x:t xml:space="preserve">汇报与确认</x:t>
        </x:is>
      </x:c>
      <x:c r="C39" s="41" t="inlineStr">
        <x:is>
          <x:t xml:space="preserve">P0</x:t>
        </x:is>
      </x:c>
      <x:c r="D39" s="41" t="inlineStr">
        <x:is>
          <x:t xml:space="preserve">未确认内容不进入正式数据</x:t>
        </x:is>
      </x:c>
      <x:c r="E39" s="42" t="inlineStr">
        <x:is>
          <x:t xml:space="preserve">未验收</x:t>
        </x:is>
      </x:c>
      <x:c r="F39" s="42" t="n"/>
      <x:c r="G39" s="42" t="n"/>
      <x:c r="H39" s="56" t="n"/>
      <x:c r="I39" s="42" t="n"/>
      <x:c r="J39" s="41" t="inlineStr">
        <x:is>
          <x:t xml:space="preserve">汇报人 / PM</x:t>
        </x:is>
      </x:c>
      <x:c r="K39" s="41" t="inlineStr">
        <x:is>
          <x:t xml:space="preserve">已提交、尚未最终确认的汇报。</x:t>
        </x:is>
      </x:c>
      <x:c r="L39" s="41" t="inlineStr">
        <x:is>
          <x:t xml:space="preserve">1. 查看推进表、问题中心与成果库
2. 再查看待确认列表</x:t>
        </x:is>
      </x:c>
      <x:c r="M39" s="41" t="inlineStr">
        <x:is>
          <x:t xml:space="preserve">1. 待审记录在确认中心可见
2. 相应正式进展、问题、成果尚未入库；已有旧正式记录仍保留</x:t>
        </x:is>
      </x:c>
      <x:c r="N39" s="41" t="inlineStr">
        <x:is>
          <x:t xml:space="preserve">提交 ID 与三个业务页面前后对照</x:t>
        </x:is>
      </x:c>
      <x:c r="O39" s="41" t="inlineStr">
        <x:is>
          <x:t xml:space="preserve">本次待核验</x:t>
        </x:is>
      </x:c>
      <x:c r="P39" s="41" t="inlineStr">
        <x:is>
          <x:t xml:space="preserve">业务规则</x:t>
        </x:is>
      </x:c>
      <x:c r="Q39" s="41" t="inlineStr">
        <x:is>
          <x:t xml:space="preserve">规则与权限口径
PROJECT_LIFECYCLE_AND_PERMISSIONS.md</x:t>
        </x:is>
      </x:c>
      <x:c r="R39" s="41" t="str">
        <x:f>IF(E39="通过",IF(LEN(TRIM(F39))&gt;0,"计入通过","待补证据"),"未通过")</x:f>
        <x:v>未通过</x:v>
      </x:c>
    </x:row>
    <x:row r="40" ht="94" customHeight="1">
      <x:c r="A40" s="41" t="inlineStr">
        <x:is>
          <x:t xml:space="preserve">D04</x:t>
        </x:is>
      </x:c>
      <x:c r="B40" s="41" t="inlineStr">
        <x:is>
          <x:t xml:space="preserve">汇报与确认</x:t>
        </x:is>
      </x:c>
      <x:c r="C40" s="41" t="inlineStr">
        <x:is>
          <x:t xml:space="preserve">P0</x:t>
        </x:is>
      </x:c>
      <x:c r="D40" s="41" t="inlineStr">
        <x:is>
          <x:t xml:space="preserve">PM 确认形成一次准确回写</x:t>
        </x:is>
      </x:c>
      <x:c r="E40" s="42" t="inlineStr">
        <x:is>
          <x:t xml:space="preserve">未验收</x:t>
        </x:is>
      </x:c>
      <x:c r="F40" s="42" t="n"/>
      <x:c r="G40" s="42" t="n"/>
      <x:c r="H40" s="56" t="n"/>
      <x:c r="I40" s="42" t="n"/>
      <x:c r="J40" s="41" t="inlineStr">
        <x:is>
          <x:t xml:space="preserve">PM</x:t>
        </x:is>
      </x:c>
      <x:c r="K40" s="41" t="inlineStr">
        <x:is>
          <x:t xml:space="preserve">待确认汇报含进展、下一步、问题和成果。</x:t>
        </x:is>
      </x:c>
      <x:c r="L40" s="41" t="inlineStr">
        <x:is>
          <x:t xml:space="preserve">1. 核对后确认
2. 刷新各业务页面
3. 重复点击或重试确认</x:t>
        </x:is>
      </x:c>
      <x:c r="M40" s="41" t="inlineStr">
        <x:is>
          <x:t xml:space="preserve">1. 各类选中内容准确写入相应对象，来源仍是原汇报
2. 只执行一次，不重复创建；摘要、时间、人员和项目一致</x:t>
        </x:is>
      </x:c>
      <x:c r="N40" s="41" t="inlineStr">
        <x:is>
          <x:t xml:space="preserve">确认回执、各对象 ID、数量及来源关联</x:t>
        </x:is>
      </x:c>
      <x:c r="O40" s="41" t="inlineStr">
        <x:is>
          <x:t xml:space="preserve">本次待核验</x:t>
        </x:is>
      </x:c>
      <x:c r="P40" s="41" t="inlineStr">
        <x:is>
          <x:t xml:space="preserve">业务规则</x:t>
        </x:is>
      </x:c>
      <x:c r="Q40" s="41" t="inlineStr">
        <x:is>
          <x:t xml:space="preserve">规则与权限口径
PROJECT_LIFECYCLE_AND_PERMISSIONS.md</x:t>
        </x:is>
      </x:c>
      <x:c r="R40" s="41" t="str">
        <x:f>IF(E40="通过",IF(LEN(TRIM(F40))&gt;0,"计入通过","待补证据"),"未通过")</x:f>
        <x:v>未通过</x:v>
      </x:c>
    </x:row>
    <x:row r="41" ht="210" customHeight="1">
      <x:c r="A41" s="41" t="inlineStr">
        <x:is>
          <x:t xml:space="preserve">D05</x:t>
        </x:is>
      </x:c>
      <x:c r="B41" s="41" t="inlineStr">
        <x:is>
          <x:t xml:space="preserve">汇报与确认</x:t>
        </x:is>
      </x:c>
      <x:c r="C41" s="41" t="inlineStr">
        <x:is>
          <x:t xml:space="preserve">P0</x:t>
        </x:is>
      </x:c>
      <x:c r="D41" s="41" t="inlineStr">
        <x:is>
          <x:t xml:space="preserve">退回汇报与修改重提</x:t>
        </x:is>
      </x:c>
      <x:c r="E41" s="42" t="inlineStr">
        <x:is>
          <x:t xml:space="preserve">通过</x:t>
        </x:is>
      </x:c>
      <x:c r="F41" s="42" t="inlineStr">
        <x:is>
          <x:t xml:space="preserve">隔离 SQLite 与合成项目“验收隔离项目-D05”，原汇报 ID 1。负责人整条退回后，提交人历史页显示“已退回”及一致的退回意见；修订页载入原文、项目上下文和 resubmitId=1。提交人修订正文，真实 AI task.extraction 提取 1 张任务卡；人工核对完成、计划、风险及原文证据后，以同 ID 重提。负责人 AI 确认中心看到记录 ID 1、提交人“验收合成提交人”、新卡片内容及“待审核”。重新登录后又完整复测一次退回→历史页修订→真实提取→同 ID 重提，双方状态再次一致。隔离库核对：仍为 1 条汇报记录；正式任务和子任务的更新时间未因待确认重提改变，确认前未写入正式任务数据。</x:t>
        </x:is>
      </x:c>
      <x:c r="G41" s="42" t="inlineStr">
        <x:is>
          <x:t xml:space="preserve">Codex（自动化实测）</x:t>
        </x:is>
      </x:c>
      <x:c r="H41" s="56" t="n">
        <x:v>46313</x:v>
      </x:c>
      <x:c r="I41" s="42" t="inlineStr">
        <x:is>
          <x:t xml:space="preserve">首次旧浏览器会话点击未导航；Vite 热更新后成功，重新登录的清洁会话复测也通过。首次未响应未能稳定复现，后续对目标部署版仍需刷新后复核。</x:t>
        </x:is>
      </x:c>
      <x:c r="J41" s="41" t="inlineStr">
        <x:is>
          <x:t xml:space="preserve">PM / 汇报人</x:t>
        </x:is>
      </x:c>
      <x:c r="K41" s="41" t="inlineStr">
        <x:is>
          <x:t xml:space="preserve">有需补充的待确认汇报。</x:t>
        </x:is>
      </x:c>
      <x:c r="L41" s="41" t="inlineStr">
        <x:is>
          <x:t xml:space="preserve">1. PM 填写意见退回
2. 汇报人查看意见、修改并重提</x:t>
        </x:is>
      </x:c>
      <x:c r="M41" s="41" t="inlineStr">
        <x:is>
          <x:t xml:space="preserve">1. 双方看到一致状态与原因
2. 原内容和历史可追溯；重提不提前写正式数据</x:t>
        </x:is>
      </x:c>
      <x:c r="N41" s="41" t="inlineStr">
        <x:is>
          <x:t xml:space="preserve">退回与重提记录、正式库对照</x:t>
        </x:is>
      </x:c>
      <x:c r="O41" s="41" t="inlineStr">
        <x:is>
          <x:t xml:space="preserve">本次待核验</x:t>
        </x:is>
      </x:c>
      <x:c r="P41" s="41" t="inlineStr">
        <x:is>
          <x:t xml:space="preserve">业务规则</x:t>
        </x:is>
      </x:c>
      <x:c r="Q41" s="41" t="inlineStr">
        <x:is>
          <x:t xml:space="preserve">规则与权限口径
PROJECT_LIFECYCLE_AND_PERMISSIONS.md</x:t>
        </x:is>
      </x:c>
      <x:c r="R41" s="41" t="str">
        <x:f>IF(E41="通过",IF(LEN(TRIM(F41))&gt;0,"计入通过","待补证据"),"未通过")</x:f>
        <x:v>计入通过</x:v>
      </x:c>
    </x:row>
    <x:row r="42" ht="94" customHeight="1">
      <x:c r="A42" s="41" t="inlineStr">
        <x:is>
          <x:t xml:space="preserve">D06</x:t>
        </x:is>
      </x:c>
      <x:c r="B42" s="41" t="inlineStr">
        <x:is>
          <x:t xml:space="preserve">汇报与确认</x:t>
        </x:is>
      </x:c>
      <x:c r="C42" s="41" t="inlineStr">
        <x:is>
          <x:t xml:space="preserve">P0</x:t>
        </x:is>
      </x:c>
      <x:c r="D42" s="41" t="inlineStr">
        <x:is>
          <x:t xml:space="preserve">上传与 AI 失败不伪装成功</x:t>
        </x:is>
      </x:c>
      <x:c r="E42" s="42" t="inlineStr">
        <x:is>
          <x:t xml:space="preserve">未验收</x:t>
        </x:is>
      </x:c>
      <x:c r="F42" s="42" t="inlineStr">
        <x:is>
          <x:t xml:space="preserve">隔离 SQLite、合成提交人、V2/6005：上传 .txt 返回“仅支持 Word、PDF、Excel、PPT”，原输入保留；20,971,521 字节 .docx 被拒绝并提示“不超过 20 MB”，原输入保留。有效 retry.docx 成功解析为 67 字。停用临时库模型候选和停止后端分别触发 AI/网络失败，页面均显示“AI 提取失败，请重新尝试”，正文保留、无结构化卡片；保存草稿后刷新，正文恢复。恢复服务和模型后两次真实重试仍返回 502，隔离库 invocation log 为 AI_UPSTREAM_UNKNOWN；未新增汇报或空/重复记录（update_submissions 数仍为 1，均为既有 D05 合成记录）。</x:t>
        </x:is>
      </x:c>
      <x:c r="G42" s="42" t="inlineStr">
        <x:is>
          <x:t xml:space="preserve">Codex（自动化实测）</x:t>
        </x:is>
      </x:c>
      <x:c r="H42" s="56" t="inlineStr">
        <x:is>
          <x:t xml:space="preserve">2026-10-18</x:t>
        </x:is>
      </x:c>
      <x:c r="I42" s="42" t="inlineStr">
        <x:is>
          <x:t xml:space="preserve">待 DeepSeek 上游恢复后复测一次有效 AI 重试；当前失败状态保留输入与草稿，不能以此记为验收通过。</x:t>
        </x:is>
      </x:c>
      <x:c r="J42" s="41" t="inlineStr">
        <x:is>
          <x:t xml:space="preserve">汇报人</x:t>
        </x:is>
      </x:c>
      <x:c r="K42" s="41" t="inlineStr">
        <x:is>
          <x:t xml:space="preserve">准备不支持格式、超限文件、网络失败与模型失败场景。</x:t>
        </x:is>
      </x:c>
      <x:c r="L42" s="41" t="inlineStr">
        <x:is>
          <x:t xml:space="preserve">1. 分别上传或提取
2. 失败后修正、重试
3. 检查已保存草稿</x:t>
        </x:is>
      </x:c>
      <x:c r="M42" s="41" t="inlineStr">
        <x:is>
          <x:t xml:space="preserve">1. 失败有明确原因和重试入口，已填内容保留
2. 未完成提取或写入不得提示成功；不产生空白或重复记录</x:t>
        </x:is>
      </x:c>
      <x:c r="N42" s="41" t="inlineStr">
        <x:is>
          <x:t xml:space="preserve">失败提示、重试结果与记录数量</x:t>
        </x:is>
      </x:c>
      <x:c r="O42" s="41" t="inlineStr">
        <x:is>
          <x:t xml:space="preserve">本次待核验</x:t>
        </x:is>
      </x:c>
      <x:c r="P42" s="41" t="inlineStr">
        <x:is>
          <x:t xml:space="preserve">业务规则</x:t>
        </x:is>
      </x:c>
      <x:c r="Q42" s="41" t="inlineStr">
        <x:is>
          <x:t xml:space="preserve">规则与权限口径
PROJECT_LIFECYCLE_AND_PERMISSIONS.md</x:t>
        </x:is>
      </x:c>
      <x:c r="R42" s="41" t="str">
        <x:f>IF(E42="通过",IF(LEN(TRIM(F42))&gt;0,"计入通过","待补证据"),"未通过")</x:f>
        <x:v>未通过</x:v>
      </x:c>
    </x:row>
    <x:row r="43" ht="94" customHeight="1">
      <x:c r="A43" s="41" t="inlineStr">
        <x:is>
          <x:t xml:space="preserve">D07</x:t>
        </x:is>
      </x:c>
      <x:c r="B43" s="41" t="inlineStr">
        <x:is>
          <x:t xml:space="preserve">汇报与确认</x:t>
        </x:is>
      </x:c>
      <x:c r="C43" s="41" t="inlineStr">
        <x:is>
          <x:t xml:space="preserve">P1</x:t>
        </x:is>
      </x:c>
      <x:c r="D43" s="41" t="inlineStr">
        <x:is>
          <x:t xml:space="preserve">跨页面更新一致</x:t>
        </x:is>
      </x:c>
      <x:c r="E43" s="42" t="str">
        <x:v>通过</x:v>
      </x:c>
      <x:c r="F43" s="42" t="str">
        <x:v>本地隔离 SQLite、合成项目“验收隔离项目-D05”复核。成功链路：负责人在 V2 确认中心完成单卡确认后，工作推进表与任务详情“最新提交”显示同一内容；整页刷新后仍一致，数据库关联字段 update_submission.related_subtask_id=1、subtask.source_submission_id=5。失败链路：隔离 V2 后端停止时重新打开详情，页面明确显示“请求失败：500”和“重新加载”，未显示暂无数据。另新增刷新失败回归用例：先加载旧已确认进展，变更后刷新请求失败，旧摘要被隐藏并显示错误与重载入口。KeyTaskExecutionWorkspace.risk.test.tsx 4 项通过。验收仅覆盖本地隔离环境及合成数据，生产权限、生产数据和业务签收仍未验证。</x:v>
      </x:c>
      <x:c r="G43" s="42" t="str">
        <x:v>Codex（隔离验收）</x:v>
      </x:c>
      <x:c r="H43" s="56" t="str">
        <x:v>2026-10-19</x:v>
      </x:c>
      <x:c r="I43" s="42" t="str">
        <x:v>由业务验收人结合生产权限、真实项目数据和实际工作推进表使用情况复核并签收；本地隔离环境验证不代表生产验收。</x:v>
      </x:c>
      <x:c r="J43" s="41" t="inlineStr">
        <x:is>
          <x:t xml:space="preserve">PM / 管理者</x:t>
        </x:is>
      </x:c>
      <x:c r="K43" s="41" t="inlineStr">
        <x:is>
          <x:t xml:space="preserve">已打开推进表、确认中心和任务详情。</x:t>
        </x:is>
      </x:c>
      <x:c r="L43" s="41" t="inlineStr">
        <x:is>
          <x:t xml:space="preserve">1. 在确认中心完成确认
2. 切回其他页面及刷新</x:t>
        </x:is>
      </x:c>
      <x:c r="M43" s="41" t="inlineStr">
        <x:is>
          <x:t xml:space="preserve">1. 成功后能按既定刷新机制看到同一最新正式结果
2. 加载失败单独显示，不清空成暂无数据；旧结果不得冒充已刷新</x:t>
        </x:is>
      </x:c>
      <x:c r="N43" s="41" t="inlineStr">
        <x:is>
          <x:t xml:space="preserve">确认时间与多页面对照</x:t>
        </x:is>
      </x:c>
      <x:c r="O43" s="41" t="inlineStr">
        <x:is>
          <x:t xml:space="preserve">本次待核验</x:t>
        </x:is>
      </x:c>
      <x:c r="P43" s="41" t="inlineStr">
        <x:is>
          <x:t xml:space="preserve">业务规则</x:t>
        </x:is>
      </x:c>
      <x:c r="Q43" s="41" t="inlineStr">
        <x:is>
          <x:t xml:space="preserve">规则与权限口径
PROJECT_LIFECYCLE_AND_PERMISSIONS.md</x:t>
        </x:is>
      </x:c>
      <x:c r="R43" s="41" t="str">
        <x:f>IF(E43="通过",IF(LEN(TRIM(F43))&gt;0,"计入通过","待补证据"),"未通过")</x:f>
        <x:v>计入通过</x:v>
      </x:c>
    </x:row>
    <x:row r="44" ht="94" customHeight="1">
      <x:c r="A44" s="41" t="inlineStr">
        <x:is>
          <x:t xml:space="preserve">D08</x:t>
        </x:is>
      </x:c>
      <x:c r="B44" s="41" t="inlineStr">
        <x:is>
          <x:t xml:space="preserve">汇报与确认</x:t>
        </x:is>
      </x:c>
      <x:c r="C44" s="41" t="inlineStr">
        <x:is>
          <x:t xml:space="preserve">P0</x:t>
        </x:is>
      </x:c>
      <x:c r="D44" s="41" t="inlineStr">
        <x:is>
          <x:t xml:space="preserve">仅进行中项目正式汇报</x:t>
        </x:is>
      </x:c>
      <x:c r="E44" s="42" t="inlineStr">
        <x:is>
          <x:t xml:space="preserve">未验收</x:t>
        </x:is>
      </x:c>
      <x:c r="F44" s="42" t="n"/>
      <x:c r="G44" s="42" t="n"/>
      <x:c r="H44" s="56" t="n"/>
      <x:c r="I44" s="42" t="n"/>
      <x:c r="J44" s="41" t="inlineStr">
        <x:is>
          <x:t xml:space="preserve">汇报人</x:t>
        </x:is>
      </x:c>
      <x:c r="K44" s="41" t="inlineStr">
        <x:is>
          <x:t xml:space="preserve">准备草稿、已派发、待审、已退回、进行中、结束审核中、已结束、归档项目。</x:t>
        </x:is>
      </x:c>
      <x:c r="L44" s="41" t="inlineStr">
        <x:is>
          <x:t xml:space="preserve">1. 分别尝试正式提交汇报
2. 直接调用接口验证</x:t>
        </x:is>
      </x:c>
      <x:c r="M44" s="41" t="inlineStr">
        <x:is>
          <x:t xml:space="preserve">1. 常规正式提交只允许进行中
2. 其他状态被拒绝且说明原因；历史待启动状态不等价于可汇报</x:t>
        </x:is>
      </x:c>
      <x:c r="N44" s="41" t="inlineStr">
        <x:is>
          <x:t xml:space="preserve">状态矩阵与接口结果</x:t>
        </x:is>
      </x:c>
      <x:c r="O44" s="41" t="inlineStr">
        <x:is>
          <x:t xml:space="preserve">本次待核验</x:t>
        </x:is>
      </x:c>
      <x:c r="P44" s="41" t="inlineStr">
        <x:is>
          <x:t xml:space="preserve">业务规则</x:t>
        </x:is>
      </x:c>
      <x:c r="Q44" s="41" t="inlineStr">
        <x:is>
          <x:t xml:space="preserve">规则与权限口径
PROJECT_LIFECYCLE_AND_PERMISSIONS.md</x:t>
        </x:is>
      </x:c>
      <x:c r="R44" s="41" t="str">
        <x:f>IF(E44="通过",IF(LEN(TRIM(F44))&gt;0,"计入通过","待补证据"),"未通过")</x:f>
        <x:v>未通过</x:v>
      </x:c>
    </x:row>
    <x:row r="45" ht="94" customHeight="1">
      <x:c r="A45" s="41" t="inlineStr">
        <x:is>
          <x:t xml:space="preserve">E01</x:t>
        </x:is>
      </x:c>
      <x:c r="B45" s="41" t="inlineStr">
        <x:is>
          <x:t xml:space="preserve">问题与成果</x:t>
        </x:is>
      </x:c>
      <x:c r="C45" s="41" t="inlineStr">
        <x:is>
          <x:t xml:space="preserve">P0</x:t>
        </x:is>
      </x:c>
      <x:c r="D45" s="41" t="inlineStr">
        <x:is>
          <x:t xml:space="preserve">问题来源与责任清楚</x:t>
        </x:is>
      </x:c>
      <x:c r="E45" s="42" t="inlineStr">
        <x:is>
          <x:t xml:space="preserve">未验收</x:t>
        </x:is>
      </x:c>
      <x:c r="F45" s="42" t="n"/>
      <x:c r="G45" s="42" t="n"/>
      <x:c r="H45" s="56" t="n"/>
      <x:c r="I45" s="42" t="n"/>
      <x:c r="J45" s="41" t="inlineStr">
        <x:is>
          <x:t xml:space="preserve">PM / 问题负责人</x:t>
        </x:is>
      </x:c>
      <x:c r="K45" s="41" t="inlineStr">
        <x:is>
          <x:t xml:space="preserve">通过确认汇报或合法业务入口生成问题。</x:t>
        </x:is>
      </x:c>
      <x:c r="L45" s="41" t="inlineStr">
        <x:is>
          <x:t xml:space="preserve">1. 打开问题详情
2. 对照原汇报、项目和关键任务
3. 核对责任人</x:t>
        </x:is>
      </x:c>
      <x:c r="M45" s="41" t="inlineStr">
        <x:is>
          <x:t xml:space="preserve">1. 来源项目、任务与事实一致
2. 问题内容、负责人、状态和处理期限可核对；缺失字段明确待补</x:t>
        </x:is>
      </x:c>
      <x:c r="N45" s="41" t="inlineStr">
        <x:is>
          <x:t xml:space="preserve">问题与来源 ID 对照、详情截图</x:t>
        </x:is>
      </x:c>
      <x:c r="O45" s="41" t="inlineStr">
        <x:is>
          <x:t xml:space="preserve">本次待核验</x:t>
        </x:is>
      </x:c>
      <x:c r="P45" s="41" t="inlineStr">
        <x:is>
          <x:t xml:space="preserve">业务规则</x:t>
        </x:is>
      </x:c>
      <x:c r="Q45" s="41" t="inlineStr">
        <x:is>
          <x:t xml:space="preserve">规则与权限口径
PROJECT_LIFECYCLE_AND_PERMISSIONS.md</x:t>
        </x:is>
      </x:c>
      <x:c r="R45" s="41" t="str">
        <x:f>IF(E45="通过",IF(LEN(TRIM(F45))&gt;0,"计入通过","待补证据"),"未通过")</x:f>
        <x:v>未通过</x:v>
      </x:c>
    </x:row>
    <x:row r="46" ht="94" customHeight="1">
      <x:c r="A46" s="41" t="inlineStr">
        <x:is>
          <x:t xml:space="preserve">E02</x:t>
        </x:is>
      </x:c>
      <x:c r="B46" s="41" t="inlineStr">
        <x:is>
          <x:t xml:space="preserve">问题与成果</x:t>
        </x:is>
      </x:c>
      <x:c r="C46" s="41" t="inlineStr">
        <x:is>
          <x:t xml:space="preserve">P1</x:t>
        </x:is>
      </x:c>
      <x:c r="D46" s="41" t="inlineStr">
        <x:is>
          <x:t xml:space="preserve">问题处理形成闭环</x:t>
        </x:is>
      </x:c>
      <x:c r="E46" s="42" t="inlineStr">
        <x:is>
          <x:t xml:space="preserve">未验收</x:t>
        </x:is>
      </x:c>
      <x:c r="F46" s="42" t="n"/>
      <x:c r="G46" s="42" t="n"/>
      <x:c r="H46" s="56" t="n"/>
      <x:c r="I46" s="42" t="n"/>
      <x:c r="J46" s="41" t="inlineStr">
        <x:is>
          <x:t xml:space="preserve">问题负责人 / 有权限的确认人</x:t>
        </x:is>
      </x:c>
      <x:c r="K46" s="41" t="inlineStr">
        <x:is>
          <x:t xml:space="preserve">准备一个未解决问题。</x:t>
        </x:is>
      </x:c>
      <x:c r="L46" s="41" t="inlineStr">
        <x:is>
          <x:t xml:space="preserve">1. 登记处理进展与结果
2. 执行允许的关闭操作
3. 从推进表及问题中心复查</x:t>
        </x:is>
      </x:c>
      <x:c r="M46" s="41" t="inlineStr">
        <x:is>
          <x:t xml:space="preserve">1. 处理过程和关闭依据可查
2. 关联页面状态一致；未完成的处理不因普通备注自动关闭</x:t>
        </x:is>
      </x:c>
      <x:c r="N46" s="41" t="inlineStr">
        <x:is>
          <x:t xml:space="preserve">处理记录、关闭依据和关联页面</x:t>
        </x:is>
      </x:c>
      <x:c r="O46" s="41" t="inlineStr">
        <x:is>
          <x:t xml:space="preserve">本次待核验</x:t>
        </x:is>
      </x:c>
      <x:c r="P46" s="41" t="inlineStr">
        <x:is>
          <x:t xml:space="preserve">业务规则</x:t>
        </x:is>
      </x:c>
      <x:c r="Q46" s="41" t="inlineStr">
        <x:is>
          <x:t xml:space="preserve">规则与权限口径
PROJECT_LIFECYCLE_AND_PERMISSIONS.md</x:t>
        </x:is>
      </x:c>
      <x:c r="R46" s="41" t="str">
        <x:f>IF(E46="通过",IF(LEN(TRIM(F46))&gt;0,"计入通过","待补证据"),"未通过")</x:f>
        <x:v>未通过</x:v>
      </x:c>
    </x:row>
    <x:row r="47" ht="94" customHeight="1">
      <x:c r="A47" s="41" t="inlineStr">
        <x:is>
          <x:t xml:space="preserve">E03</x:t>
        </x:is>
      </x:c>
      <x:c r="B47" s="41" t="inlineStr">
        <x:is>
          <x:t xml:space="preserve">问题与成果</x:t>
        </x:is>
      </x:c>
      <x:c r="C47" s="41" t="inlineStr">
        <x:is>
          <x:t xml:space="preserve">P0</x:t>
        </x:is>
      </x:c>
      <x:c r="D47" s="41" t="inlineStr">
        <x:is>
          <x:t xml:space="preserve">教练决策与 PM 确认分工</x:t>
        </x:is>
      </x:c>
      <x:c r="E47" s="42" t="inlineStr">
        <x:is>
          <x:t xml:space="preserve">未验收</x:t>
        </x:is>
      </x:c>
      <x:c r="F47" s="42" t="n"/>
      <x:c r="G47" s="42" t="n"/>
      <x:c r="H47" s="56" t="n"/>
      <x:c r="I47" s="42" t="n"/>
      <x:c r="J47" s="41" t="inlineStr">
        <x:is>
          <x:t xml:space="preserve">PM / 企业教练 / 统筹人</x:t>
        </x:is>
      </x:c>
      <x:c r="K47" s="41" t="inlineStr">
        <x:is>
          <x:t xml:space="preserve">有需升级决策的问题或汇报事项。</x:t>
        </x:is>
      </x:c>
      <x:c r="L47" s="41" t="inlineStr">
        <x:is>
          <x:t xml:space="preserve">1. 统筹反馈
2. PM 上报教练决策
3. 回到规定的 PM 确认流程</x:t>
        </x:is>
      </x:c>
      <x:c r="M47" s="41" t="inlineStr">
        <x:is>
          <x:t xml:space="preserve">1. 反馈、决策和最终确认各有明确责任与状态
2. 教练决策不自动替代 PM 的最终回写确认</x:t>
        </x:is>
      </x:c>
      <x:c r="N47" s="41" t="inlineStr">
        <x:is>
          <x:t xml:space="preserve">各角色动作、决策意见和最终确认审计</x:t>
        </x:is>
      </x:c>
      <x:c r="O47" s="41" t="inlineStr">
        <x:is>
          <x:t xml:space="preserve">本次待核验</x:t>
        </x:is>
      </x:c>
      <x:c r="P47" s="41" t="inlineStr">
        <x:is>
          <x:t xml:space="preserve">业务规则</x:t>
        </x:is>
      </x:c>
      <x:c r="Q47" s="41" t="inlineStr">
        <x:is>
          <x:t xml:space="preserve">规则与权限口径
PROJECT_LIFECYCLE_AND_PERMISSIONS.md</x:t>
        </x:is>
      </x:c>
      <x:c r="R47" s="41" t="str">
        <x:f>IF(E47="通过",IF(LEN(TRIM(F47))&gt;0,"计入通过","待补证据"),"未通过")</x:f>
        <x:v>未通过</x:v>
      </x:c>
    </x:row>
    <x:row r="48" ht="94" customHeight="1">
      <x:c r="A48" s="41" t="inlineStr">
        <x:is>
          <x:t xml:space="preserve">E04</x:t>
        </x:is>
      </x:c>
      <x:c r="B48" s="41" t="inlineStr">
        <x:is>
          <x:t xml:space="preserve">问题与成果</x:t>
        </x:is>
      </x:c>
      <x:c r="C48" s="41" t="inlineStr">
        <x:is>
          <x:t xml:space="preserve">P0</x:t>
        </x:is>
      </x:c>
      <x:c r="D48" s="41" t="inlineStr">
        <x:is>
          <x:t xml:space="preserve">成果归属与附件可用</x:t>
        </x:is>
      </x:c>
      <x:c r="E48" s="42" t="inlineStr">
        <x:is>
          <x:t xml:space="preserve">未验收</x:t>
        </x:is>
      </x:c>
      <x:c r="F48" s="42" t="n"/>
      <x:c r="G48" s="42" t="n"/>
      <x:c r="H48" s="56" t="n"/>
      <x:c r="I48" s="42" t="n"/>
      <x:c r="J48" s="41" t="inlineStr">
        <x:is>
          <x:t xml:space="preserve">成果提交人 / PM</x:t>
        </x:is>
      </x:c>
      <x:c r="K48" s="41" t="inlineStr">
        <x:is>
          <x:t xml:space="preserve">一份经确认的成果含真实文件附件。</x:t>
        </x:is>
      </x:c>
      <x:c r="L48" s="41" t="inlineStr">
        <x:is>
          <x:t xml:space="preserve">1. 从成果库及任务详情打开
2. 查看或下载附件
3. 对照名称、项目、任务和来源</x:t>
        </x:is>
      </x:c>
      <x:c r="M48" s="41" t="inlineStr">
        <x:is>
          <x:t xml:space="preserve">1. 文件可访问且内容正确，中文文件名无乱码
2. 归属与来源准确；无权账号不能通过附件地址越权读取</x:t>
        </x:is>
      </x:c>
      <x:c r="N48" s="41" t="inlineStr">
        <x:is>
          <x:t xml:space="preserve">成果及附件 ID、文件打开结果与权限结果</x:t>
        </x:is>
      </x:c>
      <x:c r="O48" s="41" t="inlineStr">
        <x:is>
          <x:t xml:space="preserve">本次待核验</x:t>
        </x:is>
      </x:c>
      <x:c r="P48" s="41" t="inlineStr">
        <x:is>
          <x:t xml:space="preserve">业务规则</x:t>
        </x:is>
      </x:c>
      <x:c r="Q48" s="41" t="inlineStr">
        <x:is>
          <x:t xml:space="preserve">规则与权限口径
PROJECT_LIFECYCLE_AND_PERMISSIONS.md</x:t>
        </x:is>
      </x:c>
      <x:c r="R48" s="41" t="str">
        <x:f>IF(E48="通过",IF(LEN(TRIM(F48))&gt;0,"计入通过","待补证据"),"未通过")</x:f>
        <x:v>未通过</x:v>
      </x:c>
    </x:row>
    <x:row r="49" ht="94" customHeight="1">
      <x:c r="A49" s="41" t="inlineStr">
        <x:is>
          <x:t xml:space="preserve">E05</x:t>
        </x:is>
      </x:c>
      <x:c r="B49" s="41" t="inlineStr">
        <x:is>
          <x:t xml:space="preserve">问题与成果</x:t>
        </x:is>
      </x:c>
      <x:c r="C49" s="41" t="inlineStr">
        <x:is>
          <x:t xml:space="preserve">P1</x:t>
        </x:is>
      </x:c>
      <x:c r="D49" s="41" t="inlineStr">
        <x:is>
          <x:t xml:space="preserve">成果更新不丢历史</x:t>
        </x:is>
      </x:c>
      <x:c r="E49" s="42" t="inlineStr">
        <x:is>
          <x:t xml:space="preserve">未验收</x:t>
        </x:is>
      </x:c>
      <x:c r="F49" s="42" t="n"/>
      <x:c r="G49" s="42" t="n"/>
      <x:c r="H49" s="56" t="n"/>
      <x:c r="I49" s="42" t="n"/>
      <x:c r="J49" s="41" t="inlineStr">
        <x:is>
          <x:t xml:space="preserve">有成果维护权限的人员</x:t>
        </x:is>
      </x:c>
      <x:c r="K49" s="41" t="inlineStr">
        <x:is>
          <x:t xml:space="preserve">同一成果准备初稿和修订稿。</x:t>
        </x:is>
      </x:c>
      <x:c r="L49" s="41" t="inlineStr">
        <x:is>
          <x:t xml:space="preserve">1. 按系统既定版本或修订机制更新
2. 复查旧记录、来源和关联任务</x:t>
        </x:is>
      </x:c>
      <x:c r="M49" s="41" t="inlineStr">
        <x:is>
          <x:t xml:space="preserve">1. 当前成果清楚，历史可追溯
2. 修订不丢原文件或错误替换另一成果，不重复关联</x:t>
        </x:is>
      </x:c>
      <x:c r="N49" s="41" t="inlineStr">
        <x:is>
          <x:t xml:space="preserve">更新前后文件、版本或修订审计</x:t>
        </x:is>
      </x:c>
      <x:c r="O49" s="41" t="inlineStr">
        <x:is>
          <x:t xml:space="preserve">本次待核验</x:t>
        </x:is>
      </x:c>
      <x:c r="P49" s="41" t="inlineStr">
        <x:is>
          <x:t xml:space="preserve">业务规则</x:t>
        </x:is>
      </x:c>
      <x:c r="Q49" s="41" t="inlineStr">
        <x:is>
          <x:t xml:space="preserve">规则与权限口径
PROJECT_LIFECYCLE_AND_PERMISSIONS.md</x:t>
        </x:is>
      </x:c>
      <x:c r="R49" s="41" t="str">
        <x:f>IF(E49="通过",IF(LEN(TRIM(F49))&gt;0,"计入通过","待补证据"),"未通过")</x:f>
        <x:v>未通过</x:v>
      </x:c>
    </x:row>
    <x:row r="50" ht="94" customHeight="1">
      <x:c r="A50" s="41" t="inlineStr">
        <x:is>
          <x:t xml:space="preserve">E06</x:t>
        </x:is>
      </x:c>
      <x:c r="B50" s="41" t="inlineStr">
        <x:is>
          <x:t xml:space="preserve">问题与成果</x:t>
        </x:is>
      </x:c>
      <x:c r="C50" s="41" t="inlineStr">
        <x:is>
          <x:t xml:space="preserve">P1</x:t>
        </x:is>
      </x:c>
      <x:c r="D50" s="41" t="inlineStr">
        <x:is>
          <x:t xml:space="preserve">跨模块数量与状态一致</x:t>
        </x:is>
      </x:c>
      <x:c r="E50" s="42" t="inlineStr">
        <x:is>
          <x:t xml:space="preserve">未验收</x:t>
        </x:is>
      </x:c>
      <x:c r="F50" s="42" t="n"/>
      <x:c r="G50" s="42" t="n"/>
      <x:c r="H50" s="56" t="n"/>
      <x:c r="I50" s="42" t="n"/>
      <x:c r="J50" s="41" t="inlineStr">
        <x:is>
          <x:t xml:space="preserve">管理者</x:t>
        </x:is>
      </x:c>
      <x:c r="K50" s="41" t="inlineStr">
        <x:is>
          <x:t xml:space="preserve">一个项目含未解决问题、已关闭问题及多项成果。</x:t>
        </x:is>
      </x:c>
      <x:c r="L50" s="41" t="inlineStr">
        <x:is>
          <x:t xml:space="preserve">1. 比较项目、推进表、任务详情、问题中心及成果库
2. 处理一项问题后复查</x:t>
        </x:is>
      </x:c>
      <x:c r="M50" s="41" t="inlineStr">
        <x:is>
          <x:t xml:space="preserve">1. 相同口径下数量和状态一致
2. 加载失败、无权限和确实无记录分别显示</x:t>
        </x:is>
      </x:c>
      <x:c r="N50" s="41" t="inlineStr">
        <x:is>
          <x:t xml:space="preserve">各页面同一时点数据核算表</x:t>
        </x:is>
      </x:c>
      <x:c r="O50" s="41" t="inlineStr">
        <x:is>
          <x:t xml:space="preserve">本次待核验</x:t>
        </x:is>
      </x:c>
      <x:c r="P50" s="41" t="inlineStr">
        <x:is>
          <x:t xml:space="preserve">业务规则</x:t>
        </x:is>
      </x:c>
      <x:c r="Q50" s="41" t="inlineStr">
        <x:is>
          <x:t xml:space="preserve">规则与权限口径
PROJECT_LIFECYCLE_AND_PERMISSIONS.md</x:t>
        </x:is>
      </x:c>
      <x:c r="R50" s="41" t="str">
        <x:f>IF(E50="通过",IF(LEN(TRIM(F50))&gt;0,"计入通过","待补证据"),"未通过")</x:f>
        <x:v>未通过</x:v>
      </x:c>
    </x:row>
    <x:row r="51" ht="94" customHeight="1">
      <x:c r="A51" s="41" t="inlineStr">
        <x:is>
          <x:t xml:space="preserve">F01</x:t>
        </x:is>
      </x:c>
      <x:c r="B51" s="41" t="inlineStr">
        <x:is>
          <x:t xml:space="preserve">会议与 AI</x:t>
        </x:is>
      </x:c>
      <x:c r="C51" s="41" t="inlineStr">
        <x:is>
          <x:t xml:space="preserve">P0</x:t>
        </x:is>
      </x:c>
      <x:c r="D51" s="41" t="inlineStr">
        <x:is>
          <x:t xml:space="preserve">会议原始内容完整保留</x:t>
        </x:is>
      </x:c>
      <x:c r="E51" s="42" t="inlineStr">
        <x:is>
          <x:t xml:space="preserve">未验收</x:t>
        </x:is>
      </x:c>
      <x:c r="F51" s="42" t="n"/>
      <x:c r="G51" s="42" t="n"/>
      <x:c r="H51" s="56" t="n"/>
      <x:c r="I51" s="42" t="n"/>
      <x:c r="J51" s="41" t="inlineStr">
        <x:is>
          <x:t xml:space="preserve">会议创建人 / PM</x:t>
        </x:is>
      </x:c>
      <x:c r="K51" s="41" t="inlineStr">
        <x:is>
          <x:t xml:space="preserve">准备包含分条事实、表格和跨页内容的会议文件。</x:t>
        </x:is>
      </x:c>
      <x:c r="L51" s="41" t="inlineStr">
        <x:is>
          <x:t xml:space="preserve">1. 上传并解析
2. 逐条核对原文与提取事实</x:t>
        </x:is>
      </x:c>
      <x:c r="M51" s="41" t="inlineStr">
        <x:is>
          <x:t xml:space="preserve">1. 重要事实不遗漏、不同条目不串行
2. 原始文件、事实及页码或段落定位可追溯</x:t>
        </x:is>
      </x:c>
      <x:c r="N51" s="41" t="inlineStr">
        <x:is>
          <x:t xml:space="preserve">原文件、事实清单与逐条覆盖核对</x:t>
        </x:is>
      </x:c>
      <x:c r="O51" s="41" t="inlineStr">
        <x:is>
          <x:t xml:space="preserve">本次待核验</x:t>
        </x:is>
      </x:c>
      <x:c r="P51" s="41" t="inlineStr">
        <x:is>
          <x:t xml:space="preserve">业务规则</x:t>
        </x:is>
      </x:c>
      <x:c r="Q51" s="41" t="inlineStr">
        <x:is>
          <x:t xml:space="preserve">规则与权限口径
PROJECT_LIFECYCLE_AND_PERMISSIONS.md</x:t>
        </x:is>
      </x:c>
      <x:c r="R51" s="41" t="str">
        <x:f>IF(E51="通过",IF(LEN(TRIM(F51))&gt;0,"计入通过","待补证据"),"未通过")</x:f>
        <x:v>未通过</x:v>
      </x:c>
    </x:row>
    <x:row r="52" ht="94" customHeight="1">
      <x:c r="A52" s="41" t="inlineStr">
        <x:is>
          <x:t xml:space="preserve">F02</x:t>
        </x:is>
      </x:c>
      <x:c r="B52" s="41" t="inlineStr">
        <x:is>
          <x:t xml:space="preserve">会议与 AI</x:t>
        </x:is>
      </x:c>
      <x:c r="C52" s="41" t="inlineStr">
        <x:is>
          <x:t xml:space="preserve">P0</x:t>
        </x:is>
      </x:c>
      <x:c r="D52" s="41" t="inlineStr">
        <x:is>
          <x:t xml:space="preserve">AI 建议可核对与选择</x:t>
        </x:is>
      </x:c>
      <x:c r="E52" s="42" t="inlineStr">
        <x:is>
          <x:t xml:space="preserve">未验收</x:t>
        </x:is>
      </x:c>
      <x:c r="F52" s="42" t="n"/>
      <x:c r="G52" s="42" t="n"/>
      <x:c r="H52" s="56" t="n"/>
      <x:c r="I52" s="42" t="n"/>
      <x:c r="J52" s="41" t="inlineStr">
        <x:is>
          <x:t xml:space="preserve">会议审核人</x:t>
        </x:is>
      </x:c>
      <x:c r="K52" s="41" t="inlineStr">
        <x:is>
          <x:t xml:space="preserve">会议含进展、问题、成果与计划调整。</x:t>
        </x:is>
      </x:c>
      <x:c r="L52" s="41" t="inlineStr">
        <x:is>
          <x:t xml:space="preserve">1. 查看每条 AI 建议及来源
2. 修改、排除部分建议
3. 核对剩余待确认项</x:t>
        </x:is>
      </x:c>
      <x:c r="M52" s="41" t="inlineStr">
        <x:is>
          <x:t xml:space="preserve">1. 事实与推断有清楚边界；重要字段有依据
2. 有歧义时标为待确认，不编造负责人、日期或完成情况</x:t>
        </x:is>
      </x:c>
      <x:c r="N52" s="41" t="inlineStr">
        <x:is>
          <x:t xml:space="preserve">建议、来源定位与人工选择记录</x:t>
        </x:is>
      </x:c>
      <x:c r="O52" s="41" t="inlineStr">
        <x:is>
          <x:t xml:space="preserve">本次待核验</x:t>
        </x:is>
      </x:c>
      <x:c r="P52" s="41" t="inlineStr">
        <x:is>
          <x:t xml:space="preserve">业务规则</x:t>
        </x:is>
      </x:c>
      <x:c r="Q52" s="41" t="inlineStr">
        <x:is>
          <x:t xml:space="preserve">规则与权限口径
PROJECT_LIFECYCLE_AND_PERMISSIONS.md</x:t>
        </x:is>
      </x:c>
      <x:c r="R52" s="41" t="str">
        <x:f>IF(E52="通过",IF(LEN(TRIM(F52))&gt;0,"计入通过","待补证据"),"未通过")</x:f>
        <x:v>未通过</x:v>
      </x:c>
    </x:row>
    <x:row r="53" ht="94" customHeight="1">
      <x:c r="A53" s="41" t="inlineStr">
        <x:is>
          <x:t xml:space="preserve">F03</x:t>
        </x:is>
      </x:c>
      <x:c r="B53" s="41" t="inlineStr">
        <x:is>
          <x:t xml:space="preserve">会议与 AI</x:t>
        </x:is>
      </x:c>
      <x:c r="C53" s="41" t="inlineStr">
        <x:is>
          <x:t xml:space="preserve">P0</x:t>
        </x:is>
      </x:c>
      <x:c r="D53" s="41" t="inlineStr">
        <x:is>
          <x:t xml:space="preserve">会议选择性回写与防重复</x:t>
        </x:is>
      </x:c>
      <x:c r="E53" s="42" t="inlineStr">
        <x:is>
          <x:t xml:space="preserve">未验收</x:t>
        </x:is>
      </x:c>
      <x:c r="F53" s="42" t="n"/>
      <x:c r="G53" s="42" t="n"/>
      <x:c r="H53" s="56" t="n"/>
      <x:c r="I53" s="42" t="n"/>
      <x:c r="J53" s="41" t="inlineStr">
        <x:is>
          <x:t xml:space="preserve">有相应权限的 PM / 统筹人</x:t>
        </x:is>
      </x:c>
      <x:c r="K53" s="41" t="inlineStr">
        <x:is>
          <x:t xml:space="preserve">已审核部分会议进展，另有未批准的计划变更。</x:t>
        </x:is>
      </x:c>
      <x:c r="L53" s="41" t="inlineStr">
        <x:is>
          <x:t xml:space="preserve">1. 仅应用批准的建议
2. 重试同一应用操作
3. 检查任务、问题和计划</x:t>
        </x:is>
      </x:c>
      <x:c r="M53" s="41" t="inlineStr">
        <x:is>
          <x:t xml:space="preserve">1. 只写入获准范围，计划结构变更按相应权限审批
2. 重复操作不重复写入，未选中内容保留待处理</x:t>
        </x:is>
      </x:c>
      <x:c r="N53" s="41" t="inlineStr">
        <x:is>
          <x:t xml:space="preserve">建议与业务记录 ID、审计和数量对照</x:t>
        </x:is>
      </x:c>
      <x:c r="O53" s="41" t="inlineStr">
        <x:is>
          <x:t xml:space="preserve">本次待核验</x:t>
        </x:is>
      </x:c>
      <x:c r="P53" s="41" t="inlineStr">
        <x:is>
          <x:t xml:space="preserve">业务规则</x:t>
        </x:is>
      </x:c>
      <x:c r="Q53" s="41" t="inlineStr">
        <x:is>
          <x:t xml:space="preserve">规则与权限口径
PROJECT_LIFECYCLE_AND_PERMISSIONS.md</x:t>
        </x:is>
      </x:c>
      <x:c r="R53" s="41" t="str">
        <x:f>IF(E53="通过",IF(LEN(TRIM(F53))&gt;0,"计入通过","待补证据"),"未通过")</x:f>
        <x:v>未通过</x:v>
      </x:c>
    </x:row>
    <x:row r="54" ht="94" customHeight="1">
      <x:c r="A54" s="41" t="inlineStr">
        <x:is>
          <x:t xml:space="preserve">F04</x:t>
        </x:is>
      </x:c>
      <x:c r="B54" s="41" t="inlineStr">
        <x:is>
          <x:t xml:space="preserve">会议与 AI</x:t>
        </x:is>
      </x:c>
      <x:c r="C54" s="41" t="inlineStr">
        <x:is>
          <x:t xml:space="preserve">P1</x:t>
        </x:is>
      </x:c>
      <x:c r="D54" s="41" t="inlineStr">
        <x:is>
          <x:t xml:space="preserve">会议处理失败与恢复</x:t>
        </x:is>
      </x:c>
      <x:c r="E54" s="42" t="inlineStr">
        <x:is>
          <x:t xml:space="preserve">未验收</x:t>
        </x:is>
      </x:c>
      <x:c r="F54" s="42" t="n"/>
      <x:c r="G54" s="42" t="n"/>
      <x:c r="H54" s="56" t="n"/>
      <x:c r="I54" s="42" t="n"/>
      <x:c r="J54" s="41" t="inlineStr">
        <x:is>
          <x:t xml:space="preserve">会议创建人</x:t>
        </x:is>
      </x:c>
      <x:c r="K54" s="41" t="inlineStr">
        <x:is>
          <x:t xml:space="preserve">大文件或中途失败的分析任务。</x:t>
        </x:is>
      </x:c>
      <x:c r="L54" s="41" t="inlineStr">
        <x:is>
          <x:t xml:space="preserve">1. 触发可控失败或超时
2. 重新进入页面并重试
3. 核对处理状态及最终产物</x:t>
        </x:is>
      </x:c>
      <x:c r="M54" s="41" t="inlineStr">
        <x:is>
          <x:t xml:space="preserve">1. 处理中、失败、可重试、完成状态真实可见
2. 重试不漏事实或重复回写；恢复能力边界明确</x:t>
        </x:is>
      </x:c>
      <x:c r="N54" s="41" t="inlineStr">
        <x:is>
          <x:t xml:space="preserve">处理日志、失败原因、重试与事实核对结果</x:t>
        </x:is>
      </x:c>
      <x:c r="O54" s="41" t="inlineStr">
        <x:is>
          <x:t xml:space="preserve">本次待核验</x:t>
        </x:is>
      </x:c>
      <x:c r="P54" s="41" t="inlineStr">
        <x:is>
          <x:t xml:space="preserve">业务规则</x:t>
        </x:is>
      </x:c>
      <x:c r="Q54" s="41" t="inlineStr">
        <x:is>
          <x:t xml:space="preserve">规则与权限口径
PROJECT_LIFECYCLE_AND_PERMISSIONS.md</x:t>
        </x:is>
      </x:c>
      <x:c r="R54" s="41" t="str">
        <x:f>IF(E54="通过",IF(LEN(TRIM(F54))&gt;0,"计入通过","待补证据"),"未通过")</x:f>
        <x:v>未通过</x:v>
      </x:c>
    </x:row>
    <x:row r="55" ht="94" customHeight="1">
      <x:c r="A55" s="41" t="inlineStr">
        <x:is>
          <x:t xml:space="preserve">F05</x:t>
        </x:is>
      </x:c>
      <x:c r="B55" s="41" t="inlineStr">
        <x:is>
          <x:t xml:space="preserve">会议与 AI</x:t>
        </x:is>
      </x:c>
      <x:c r="C55" s="41" t="inlineStr">
        <x:is>
          <x:t xml:space="preserve">P0</x:t>
        </x:is>
      </x:c>
      <x:c r="D55" s="41" t="inlineStr">
        <x:is>
          <x:t xml:space="preserve">启动会不改变常规立项门槛</x:t>
        </x:is>
      </x:c>
      <x:c r="E55" s="42" t="inlineStr">
        <x:is>
          <x:t xml:space="preserve">未验收</x:t>
        </x:is>
      </x:c>
      <x:c r="F55" s="42" t="n"/>
      <x:c r="G55" s="42" t="n"/>
      <x:c r="H55" s="56" t="n"/>
      <x:c r="I55" s="42" t="n"/>
      <x:c r="J55" s="41" t="inlineStr">
        <x:is>
          <x:t xml:space="preserve">PM / 企业教练</x:t>
        </x:is>
      </x:c>
      <x:c r="K55" s="41" t="inlineStr">
        <x:is>
          <x:t xml:space="preserve">项目已通过常规立项审核，另有历史待启动项目。</x:t>
        </x:is>
      </x:c>
      <x:c r="L55" s="41" t="inlineStr">
        <x:is>
          <x:t xml:space="preserve">1. 创建或确认启动会审核包
2. 对照常规立项状态与历史兼容规则</x:t>
        </x:is>
      </x:c>
      <x:c r="M55" s="41" t="inlineStr">
        <x:is>
          <x:t xml:space="preserve">1. 新项目审核通过即进入进行中；启动会是会议和提案审核流程
2. 不混用历史 pending_kickoff 作为新项目强制门槛</x:t>
        </x:is>
      </x:c>
      <x:c r="N55" s="41" t="inlineStr">
        <x:is>
          <x:t xml:space="preserve">项目状态与启动会审核记录</x:t>
        </x:is>
      </x:c>
      <x:c r="O55" s="41" t="inlineStr">
        <x:is>
          <x:t xml:space="preserve">本次待核验</x:t>
        </x:is>
      </x:c>
      <x:c r="P55" s="41" t="inlineStr">
        <x:is>
          <x:t xml:space="preserve">业务规则</x:t>
        </x:is>
      </x:c>
      <x:c r="Q55" s="41" t="inlineStr">
        <x:is>
          <x:t xml:space="preserve">规则与权限口径
PROJECT_LIFECYCLE_AND_PERMISSIONS.md</x:t>
        </x:is>
      </x:c>
      <x:c r="R55" s="41" t="str">
        <x:f>IF(E55="通过",IF(LEN(TRIM(F55))&gt;0,"计入通过","待补证据"),"未通过")</x:f>
        <x:v>未通过</x:v>
      </x:c>
    </x:row>
    <x:row r="56" ht="94" customHeight="1">
      <x:c r="A56" s="41" t="inlineStr">
        <x:is>
          <x:t xml:space="preserve">F06</x:t>
        </x:is>
      </x:c>
      <x:c r="B56" s="41" t="inlineStr">
        <x:is>
          <x:t xml:space="preserve">会议与 AI</x:t>
        </x:is>
      </x:c>
      <x:c r="C56" s="41" t="inlineStr">
        <x:is>
          <x:t xml:space="preserve">P1</x:t>
        </x:is>
      </x:c>
      <x:c r="D56" s="41" t="inlineStr">
        <x:is>
          <x:t xml:space="preserve">AI 样本质量验收</x:t>
        </x:is>
      </x:c>
      <x:c r="E56" s="42" t="inlineStr">
        <x:is>
          <x:t xml:space="preserve">未验收</x:t>
        </x:is>
      </x:c>
      <x:c r="F56" s="42" t="n"/>
      <x:c r="G56" s="42" t="n"/>
      <x:c r="H56" s="56" t="n"/>
      <x:c r="I56" s="42" t="n"/>
      <x:c r="J56" s="41" t="inlineStr">
        <x:is>
          <x:t xml:space="preserve">业务验收人</x:t>
        </x:is>
      </x:c>
      <x:c r="K56" s="41" t="inlineStr">
        <x:is>
          <x:t xml:space="preserve">准备人工核对过的普通、长文、模糊、矛盾及失败样本。</x:t>
        </x:is>
      </x:c>
      <x:c r="L56" s="41" t="inlineStr">
        <x:is>
          <x:t xml:space="preserve">1. 逐份比较事实覆盖、归属、责任人与日期
2. 记录错误和人工修订
3. 核对失败样本表现</x:t>
        </x:is>
      </x:c>
      <x:c r="M56" s="41" t="inlineStr">
        <x:is>
          <x:t xml:space="preserve">1. 业务关键事实完整、归属准确；不得无依据新增事实
2. 每个样本有预期与结果；未满足门槛的样本保留问题单，不用模型调用成功代替质量通过</x:t>
        </x:is>
      </x:c>
      <x:c r="N56" s="41" t="inlineStr">
        <x:is>
          <x:t xml:space="preserve">评测样本、人工答案、结果对照及遗留问题</x:t>
        </x:is>
      </x:c>
      <x:c r="O56" s="41" t="inlineStr">
        <x:is>
          <x:t xml:space="preserve">本次待核验</x:t>
        </x:is>
      </x:c>
      <x:c r="P56" s="41" t="inlineStr">
        <x:is>
          <x:t xml:space="preserve">建议质量门槛</x:t>
        </x:is>
      </x:c>
      <x:c r="Q56" s="41" t="inlineStr">
        <x:is>
          <x:t xml:space="preserve">完整优化路径与会议分析记录
系统完整优化路径清单-2026-10-08.md</x:t>
        </x:is>
      </x:c>
      <x:c r="R56" s="41" t="str">
        <x:f>IF(E56="通过",IF(LEN(TRIM(F56))&gt;0,"计入通过","待补证据"),"未通过")</x:f>
        <x:v>未通过</x:v>
      </x:c>
    </x:row>
    <x:row r="57" ht="94" customHeight="1">
      <x:c r="A57" s="41" t="inlineStr">
        <x:is>
          <x:t xml:space="preserve">G01</x:t>
        </x:is>
      </x:c>
      <x:c r="B57" s="41" t="inlineStr">
        <x:is>
          <x:t xml:space="preserve">结束与归档</x:t>
        </x:is>
      </x:c>
      <x:c r="C57" s="41" t="inlineStr">
        <x:is>
          <x:t xml:space="preserve">P0</x:t>
        </x:is>
      </x:c>
      <x:c r="D57" s="41" t="inlineStr">
        <x:is>
          <x:t xml:space="preserve">结束申请有明确完成依据</x:t>
        </x:is>
      </x:c>
      <x:c r="E57" s="42" t="inlineStr">
        <x:is>
          <x:t xml:space="preserve">未验收</x:t>
        </x:is>
      </x:c>
      <x:c r="F57" s="42" t="n"/>
      <x:c r="G57" s="42" t="n"/>
      <x:c r="H57" s="56" t="n"/>
      <x:c r="I57" s="42" t="n"/>
      <x:c r="J57" s="41" t="inlineStr">
        <x:is>
          <x:t xml:space="preserve">PM</x:t>
        </x:is>
      </x:c>
      <x:c r="K57" s="41" t="inlineStr">
        <x:is>
          <x:t xml:space="preserve">进行中项目有最终交付与验收材料。</x:t>
        </x:is>
      </x:c>
      <x:c r="L57" s="41" t="inlineStr">
        <x:is>
          <x:t xml:space="preserve">1. 填写结束申请
2. 检查未完确认、待决策问题、待审成果或成员申请等阻断项</x:t>
        </x:is>
      </x:c>
      <x:c r="M57" s="41" t="inlineStr">
        <x:is>
          <x:t xml:space="preserve">1. 申请仅从进行中发起；完成材料可核对
2. 有阻断项时明确拒绝并指出待处理事项</x:t>
        </x:is>
      </x:c>
      <x:c r="N57" s="41" t="inlineStr">
        <x:is>
          <x:t xml:space="preserve">结束材料、阻断清单与申请结果</x:t>
        </x:is>
      </x:c>
      <x:c r="O57" s="41" t="inlineStr">
        <x:is>
          <x:t xml:space="preserve">本次待核验</x:t>
        </x:is>
      </x:c>
      <x:c r="P57" s="41" t="inlineStr">
        <x:is>
          <x:t xml:space="preserve">业务规则</x:t>
        </x:is>
      </x:c>
      <x:c r="Q57" s="41" t="inlineStr">
        <x:is>
          <x:t xml:space="preserve">规则与权限口径
PROJECT_LIFECYCLE_AND_PERMISSIONS.md</x:t>
        </x:is>
      </x:c>
      <x:c r="R57" s="41" t="str">
        <x:f>IF(E57="通过",IF(LEN(TRIM(F57))&gt;0,"计入通过","待补证据"),"未通过")</x:f>
        <x:v>未通过</x:v>
      </x:c>
    </x:row>
    <x:row r="58" ht="94" customHeight="1">
      <x:c r="A58" s="41" t="inlineStr">
        <x:is>
          <x:t xml:space="preserve">G02</x:t>
        </x:is>
      </x:c>
      <x:c r="B58" s="41" t="inlineStr">
        <x:is>
          <x:t xml:space="preserve">结束与归档</x:t>
        </x:is>
      </x:c>
      <x:c r="C58" s="41" t="inlineStr">
        <x:is>
          <x:t xml:space="preserve">P0</x:t>
        </x:is>
      </x:c>
      <x:c r="D58" s="41" t="inlineStr">
        <x:is>
          <x:t xml:space="preserve">结束审核与取消退回</x:t>
        </x:is>
      </x:c>
      <x:c r="E58" s="42" t="inlineStr">
        <x:is>
          <x:t xml:space="preserve">未验收</x:t>
        </x:is>
      </x:c>
      <x:c r="F58" s="42" t="n"/>
      <x:c r="G58" s="42" t="n"/>
      <x:c r="H58" s="56" t="n"/>
      <x:c r="I58" s="42" t="n"/>
      <x:c r="J58" s="41" t="inlineStr">
        <x:is>
          <x:t xml:space="preserve">PM / 企业教练</x:t>
        </x:is>
      </x:c>
      <x:c r="K58" s="41" t="inlineStr">
        <x:is>
          <x:t xml:space="preserve">有待审核的结束申请。</x:t>
        </x:is>
      </x:c>
      <x:c r="L58" s="41" t="inlineStr">
        <x:is>
          <x:t xml:space="preserve">1. PM 测试合法取消
2. 教练填写意见退回
3. 重新提交后审核通过</x:t>
        </x:is>
      </x:c>
      <x:c r="M58" s="41" t="inlineStr">
        <x:is>
          <x:t xml:space="preserve">1. 取消或退回恢复进行中；审核通过进入已结束
2. 项目与申请状态配对，重复审核不产生冲突</x:t>
        </x:is>
      </x:c>
      <x:c r="N58" s="41" t="inlineStr">
        <x:is>
          <x:t xml:space="preserve">项目和申请状态、意见与审计</x:t>
        </x:is>
      </x:c>
      <x:c r="O58" s="41" t="inlineStr">
        <x:is>
          <x:t xml:space="preserve">本次待核验</x:t>
        </x:is>
      </x:c>
      <x:c r="P58" s="41" t="inlineStr">
        <x:is>
          <x:t xml:space="preserve">业务规则</x:t>
        </x:is>
      </x:c>
      <x:c r="Q58" s="41" t="inlineStr">
        <x:is>
          <x:t xml:space="preserve">规则与权限口径
PROJECT_LIFECYCLE_AND_PERMISSIONS.md</x:t>
        </x:is>
      </x:c>
      <x:c r="R58" s="41" t="str">
        <x:f>IF(E58="通过",IF(LEN(TRIM(F58))&gt;0,"计入通过","待补证据"),"未通过")</x:f>
        <x:v>未通过</x:v>
      </x:c>
    </x:row>
    <x:row r="59" ht="94" customHeight="1">
      <x:c r="A59" s="41" t="inlineStr">
        <x:is>
          <x:t xml:space="preserve">G03</x:t>
        </x:is>
      </x:c>
      <x:c r="B59" s="41" t="inlineStr">
        <x:is>
          <x:t xml:space="preserve">结束与归档</x:t>
        </x:is>
      </x:c>
      <x:c r="C59" s="41" t="inlineStr">
        <x:is>
          <x:t xml:space="preserve">P0</x:t>
        </x:is>
      </x:c>
      <x:c r="D59" s="41" t="inlineStr">
        <x:is>
          <x:t xml:space="preserve">结束冻结与只读保护</x:t>
        </x:is>
      </x:c>
      <x:c r="E59" s="42" t="inlineStr">
        <x:is>
          <x:t xml:space="preserve">未验收</x:t>
        </x:is>
      </x:c>
      <x:c r="F59" s="42" t="n"/>
      <x:c r="G59" s="42" t="n"/>
      <x:c r="H59" s="56" t="n"/>
      <x:c r="I59" s="42" t="n"/>
      <x:c r="J59" s="41" t="inlineStr">
        <x:is>
          <x:t xml:space="preserve">项目成员 / PM</x:t>
        </x:is>
      </x:c>
      <x:c r="K59" s="41" t="inlineStr">
        <x:is>
          <x:t xml:space="preserve">分别准备结束审核中、已结束、已归档项目。</x:t>
        </x:is>
      </x:c>
      <x:c r="L59" s="41" t="inlineStr">
        <x:is>
          <x:t xml:space="preserve">1. 尝试新增汇报、修改任务和写入业务记录
2. 查看历史与附件</x:t>
        </x:is>
      </x:c>
      <x:c r="M59" s="41" t="inlineStr">
        <x:is>
          <x:t xml:space="preserve">1. 按当前规则冻结写入，前后端一致
2. 已存在历史、来源与附件保持可查，拒绝操作有明确提示</x:t>
        </x:is>
      </x:c>
      <x:c r="N59" s="41" t="inlineStr">
        <x:is>
          <x:t xml:space="preserve">各状态写入拒绝结果与只读截图</x:t>
        </x:is>
      </x:c>
      <x:c r="O59" s="41" t="inlineStr">
        <x:is>
          <x:t xml:space="preserve">本次待核验</x:t>
        </x:is>
      </x:c>
      <x:c r="P59" s="41" t="inlineStr">
        <x:is>
          <x:t xml:space="preserve">业务规则</x:t>
        </x:is>
      </x:c>
      <x:c r="Q59" s="41" t="inlineStr">
        <x:is>
          <x:t xml:space="preserve">规则与权限口径
PROJECT_LIFECYCLE_AND_PERMISSIONS.md</x:t>
        </x:is>
      </x:c>
      <x:c r="R59" s="41" t="str">
        <x:f>IF(E59="通过",IF(LEN(TRIM(F59))&gt;0,"计入通过","待补证据"),"未通过")</x:f>
        <x:v>未通过</x:v>
      </x:c>
    </x:row>
    <x:row r="60" ht="94" customHeight="1">
      <x:c r="A60" s="41" t="inlineStr">
        <x:is>
          <x:t xml:space="preserve">G04</x:t>
        </x:is>
      </x:c>
      <x:c r="B60" s="41" t="inlineStr">
        <x:is>
          <x:t xml:space="preserve">结束与归档</x:t>
        </x:is>
      </x:c>
      <x:c r="C60" s="41" t="inlineStr">
        <x:is>
          <x:t xml:space="preserve">P0</x:t>
        </x:is>
      </x:c>
      <x:c r="D60" s="41" t="inlineStr">
        <x:is>
          <x:t xml:space="preserve">归档权限与完整保留</x:t>
        </x:is>
      </x:c>
      <x:c r="E60" s="42" t="inlineStr">
        <x:is>
          <x:t xml:space="preserve">未验收</x:t>
        </x:is>
      </x:c>
      <x:c r="F60" s="42" t="n"/>
      <x:c r="G60" s="42" t="n"/>
      <x:c r="H60" s="56" t="n"/>
      <x:c r="I60" s="42" t="n"/>
      <x:c r="J60" s="41" t="inlineStr">
        <x:is>
          <x:t xml:space="preserve">技术管理员 / 普通角色</x:t>
        </x:is>
      </x:c>
      <x:c r="K60" s="41" t="inlineStr">
        <x:is>
          <x:t xml:space="preserve">已结束项目包含任务、会议、问题和成果。</x:t>
        </x:is>
      </x:c>
      <x:c r="L60" s="41" t="inlineStr">
        <x:is>
          <x:t xml:space="preserve">1. 普通角色尝试归档
2. 技术管理员执行归档
3. 核对归档后的记录与访问范围</x:t>
        </x:is>
      </x:c>
      <x:c r="M60" s="41" t="inlineStr">
        <x:is>
          <x:t xml:space="preserve">1. 仅技术管理员可从已结束归档
2. 归档保留完整历史与权限边界；归档不等于删除</x:t>
        </x:is>
      </x:c>
      <x:c r="N60" s="41" t="inlineStr">
        <x:is>
          <x:t xml:space="preserve">归档动作、状态、历史对象与审计</x:t>
        </x:is>
      </x:c>
      <x:c r="O60" s="41" t="inlineStr">
        <x:is>
          <x:t xml:space="preserve">本次待核验</x:t>
        </x:is>
      </x:c>
      <x:c r="P60" s="41" t="inlineStr">
        <x:is>
          <x:t xml:space="preserve">业务规则</x:t>
        </x:is>
      </x:c>
      <x:c r="Q60" s="41" t="inlineStr">
        <x:is>
          <x:t xml:space="preserve">规则与权限口径
PROJECT_LIFECYCLE_AND_PERMISSIONS.md</x:t>
        </x:is>
      </x:c>
      <x:c r="R60" s="41" t="str">
        <x:f>IF(E60="通过",IF(LEN(TRIM(F60))&gt;0,"计入通过","待补证据"),"未通过")</x:f>
        <x:v>未通过</x:v>
      </x:c>
    </x:row>
    <x:row r="61" ht="94" customHeight="1">
      <x:c r="A61" s="41" t="inlineStr">
        <x:is>
          <x:t xml:space="preserve">H01</x:t>
        </x:is>
      </x:c>
      <x:c r="B61" s="41" t="inlineStr">
        <x:is>
          <x:t xml:space="preserve">界面与交付</x:t>
        </x:is>
      </x:c>
      <x:c r="C61" s="41" t="inlineStr">
        <x:is>
          <x:t xml:space="preserve">P1</x:t>
        </x:is>
      </x:c>
      <x:c r="D61" s="41" t="inlineStr">
        <x:is>
          <x:t xml:space="preserve">界面布局与中文可读性</x:t>
        </x:is>
      </x:c>
      <x:c r="E61" s="42" t="inlineStr">
        <x:is>
          <x:t xml:space="preserve">未验收</x:t>
        </x:is>
      </x:c>
      <x:c r="F61" s="42" t="n"/>
      <x:c r="G61" s="42" t="n"/>
      <x:c r="H61" s="56" t="n"/>
      <x:c r="I61" s="42" t="n"/>
      <x:c r="J61" s="41" t="inlineStr">
        <x:is>
          <x:t xml:space="preserve">业务验收人</x:t>
        </x:is>
      </x:c>
      <x:c r="K61" s="41" t="inlineStr">
        <x:is>
          <x:t xml:space="preserve">按桌面 1366×768、1440×900 和窄屏 390×844 验收。</x:t>
        </x:is>
      </x:c>
      <x:c r="L61" s="41" t="inlineStr">
        <x:is>
          <x:t xml:space="preserve">1. 执行建项、编辑方案、检查进度及审核
2. 输入长名称、长标准与多名协助人</x:t>
        </x:is>
      </x:c>
      <x:c r="M61" s="41" t="inlineStr">
        <x:is>
          <x:t xml:space="preserve">1. 标题、正文、辅助信息层次明确；控件不重叠、裁切或挡住主要按钮
2. 长文本有全文入口；日期、人员和反馈清楚，颜色不能是唯一的状态依据</x:t>
        </x:is>
      </x:c>
      <x:c r="N61" s="41" t="inlineStr">
        <x:is>
          <x:t xml:space="preserve">各页面各尺寸截图；记录实际浏览器</x:t>
        </x:is>
      </x:c>
      <x:c r="O61" s="41" t="inlineStr">
        <x:is>
          <x:t xml:space="preserve">历史有记录</x:t>
        </x:is>
      </x:c>
      <x:c r="P61" s="41" t="inlineStr">
        <x:is>
          <x:t xml:space="preserve">体验门槛</x:t>
        </x:is>
      </x:c>
      <x:c r="Q61" s="41" t="inlineStr">
        <x:is>
          <x:t xml:space="preserve">2026-10-12 立项前端视觉验收（仅立项子范围）
2026-10-12-initiation-visual-redesign.md</x:t>
        </x:is>
      </x:c>
      <x:c r="R61" s="41" t="str">
        <x:f>IF(E61="通过",IF(LEN(TRIM(F61))&gt;0,"计入通过","待补证据"),"未通过")</x:f>
        <x:v>未通过</x:v>
      </x:c>
    </x:row>
    <x:row r="62" ht="94" customHeight="1">
      <x:c r="A62" s="41" t="inlineStr">
        <x:is>
          <x:t xml:space="preserve">H02</x:t>
        </x:is>
      </x:c>
      <x:c r="B62" s="41" t="inlineStr">
        <x:is>
          <x:t xml:space="preserve">界面与交付</x:t>
        </x:is>
      </x:c>
      <x:c r="C62" s="41" t="inlineStr">
        <x:is>
          <x:t xml:space="preserve">P1</x:t>
        </x:is>
      </x:c>
      <x:c r="D62" s="41" t="inlineStr">
        <x:is>
          <x:t xml:space="preserve">操作反馈与输入保留</x:t>
        </x:is>
      </x:c>
      <x:c r="E62" s="42" t="inlineStr">
        <x:is>
          <x:t xml:space="preserve">未验收</x:t>
        </x:is>
      </x:c>
      <x:c r="F62" s="42" t="n"/>
      <x:c r="G62" s="42" t="n"/>
      <x:c r="H62" s="56" t="n"/>
      <x:c r="I62" s="42" t="n"/>
      <x:c r="J62" s="41" t="inlineStr">
        <x:is>
          <x:t xml:space="preserve">业务验收人</x:t>
        </x:is>
      </x:c>
      <x:c r="K62" s="41" t="inlineStr">
        <x:is>
          <x:t xml:space="preserve">模拟弱网、断网、保存失败、权限不足和重复点击。</x:t>
        </x:is>
      </x:c>
      <x:c r="L62" s="41" t="inlineStr">
        <x:is>
          <x:t xml:space="preserve">1. 在关键表单执行保存或提交
2. 失败后修正并重试
3. 返回与刷新核对</x:t>
        </x:is>
      </x:c>
      <x:c r="M62" s="41" t="inlineStr">
        <x:is>
          <x:t xml:space="preserve">1. 进行中状态明确，防止重复操作
2. 成功提示对应实际写入；失败保留输入并说明原因，返回路径清晰</x:t>
        </x:is>
      </x:c>
      <x:c r="N62" s="41" t="inlineStr">
        <x:is>
          <x:t xml:space="preserve">异常操作录屏、接口及前后字段对照</x:t>
        </x:is>
      </x:c>
      <x:c r="O62" s="41" t="inlineStr">
        <x:is>
          <x:t xml:space="preserve">本次待核验</x:t>
        </x:is>
      </x:c>
      <x:c r="P62" s="41" t="inlineStr">
        <x:is>
          <x:t xml:space="preserve">业务规则</x:t>
        </x:is>
      </x:c>
      <x:c r="Q62" s="41" t="inlineStr">
        <x:is>
          <x:t xml:space="preserve">规则与权限口径
PROJECT_LIFECYCLE_AND_PERMISSIONS.md</x:t>
        </x:is>
      </x:c>
      <x:c r="R62" s="41" t="str">
        <x:f>IF(E62="通过",IF(LEN(TRIM(F62))&gt;0,"计入通过","待补证据"),"未通过")</x:f>
        <x:v>未通过</x:v>
      </x:c>
    </x:row>
    <x:row r="63" ht="94" customHeight="1">
      <x:c r="A63" s="41" t="inlineStr">
        <x:is>
          <x:t xml:space="preserve">H03</x:t>
        </x:is>
      </x:c>
      <x:c r="B63" s="41" t="inlineStr">
        <x:is>
          <x:t xml:space="preserve">界面与交付</x:t>
        </x:is>
      </x:c>
      <x:c r="C63" s="41" t="inlineStr">
        <x:is>
          <x:t xml:space="preserve">P0</x:t>
        </x:is>
      </x:c>
      <x:c r="D63" s="41" t="inlineStr">
        <x:is>
          <x:t xml:space="preserve">完整业务链路与证据</x:t>
        </x:is>
      </x:c>
      <x:c r="E63" s="42" t="inlineStr">
        <x:is>
          <x:t xml:space="preserve">未验收</x:t>
        </x:is>
      </x:c>
      <x:c r="F63" s="42" t="n"/>
      <x:c r="G63" s="42" t="n"/>
      <x:c r="H63" s="56" t="n"/>
      <x:c r="I63" s="42" t="n"/>
      <x:c r="J63" s="41" t="inlineStr">
        <x:is>
          <x:t xml:space="preserve">公司管理 / PM / 教练 / 成员</x:t>
        </x:is>
      </x:c>
      <x:c r="K63" s="41" t="inlineStr">
        <x:is>
          <x:t xml:space="preserve">使用独立账号、干净验收项目和具代表性的多任务样例。</x:t>
        </x:is>
      </x:c>
      <x:c r="L63" s="41" t="inlineStr">
        <x:is>
          <x:t xml:space="preserve">1. 建项、下发、编制、退回重提、批准
2. 成员汇报、PM 确认、问题处理、成果核对
3. 申请结束、审核及归档</x:t>
        </x:is>
      </x:c>
      <x:c r="M63" s="41" t="inlineStr">
        <x:is>
          <x:t xml:space="preserve">1. 完整链路可由真实业务人员独立完成
2. 每次状态变化与数据回写一致，负向权限验证通过，无 P0 阻断项</x:t>
        </x:is>
      </x:c>
      <x:c r="N63" s="41" t="inlineStr">
        <x:is>
          <x:t xml:space="preserve">全流程录像或步骤截图、对象 ID、问题单和签收记录</x:t>
        </x:is>
      </x:c>
      <x:c r="O63" s="41" t="inlineStr">
        <x:is>
          <x:t xml:space="preserve">本次待核验</x:t>
        </x:is>
      </x:c>
      <x:c r="P63" s="41" t="inlineStr">
        <x:is>
          <x:t xml:space="preserve">业务规则</x:t>
        </x:is>
      </x:c>
      <x:c r="Q63" s="41" t="inlineStr">
        <x:is>
          <x:t xml:space="preserve">规则与权限口径
PROJECT_LIFECYCLE_AND_PERMISSIONS.md</x:t>
        </x:is>
      </x:c>
      <x:c r="R63" s="41" t="str">
        <x:f>IF(E63="通过",IF(LEN(TRIM(F63))&gt;0,"计入通过","待补证据"),"未通过")</x:f>
        <x:v>未通过</x:v>
      </x:c>
    </x:row>
    <x:row r="64" ht="94" customHeight="1">
      <x:c r="A64" s="41" t="inlineStr">
        <x:is>
          <x:t xml:space="preserve">H04</x:t>
        </x:is>
      </x:c>
      <x:c r="B64" s="41" t="inlineStr">
        <x:is>
          <x:t xml:space="preserve">界面与交付</x:t>
        </x:is>
      </x:c>
      <x:c r="C64" s="41" t="inlineStr">
        <x:is>
          <x:t xml:space="preserve">P0</x:t>
        </x:is>
      </x:c>
      <x:c r="D64" s="41" t="inlineStr">
        <x:is>
          <x:t xml:space="preserve">V2 测试与构建门禁</x:t>
        </x:is>
      </x:c>
      <x:c r="E64" s="42" t="inlineStr">
        <x:is>
          <x:t xml:space="preserve">未验收</x:t>
        </x:is>
      </x:c>
      <x:c r="F64" s="42" t="n"/>
      <x:c r="G64" s="42" t="n"/>
      <x:c r="H64" s="56" t="n"/>
      <x:c r="I64" s="42" t="n"/>
      <x:c r="J64" s="41" t="inlineStr">
        <x:is>
          <x:t xml:space="preserve">开发 / 测试</x:t>
        </x:is>
      </x:c>
      <x:c r="K64" s="41" t="inlineStr">
        <x:is>
          <x:t xml:space="preserve">记录本次完整版本、工作区差异、依赖与运行配置。</x:t>
        </x:is>
      </x:c>
      <x:c r="L64" s="41" t="inlineStr">
        <x:is>
          <x:t xml:space="preserve">1. 执行本次 V2 单元、契约、类型检查及生产构建
2. 执行相关后端检查与回归
3. 保留命令、时间与退出码</x:t>
        </x:is>
      </x:c>
      <x:c r="M64" s="41" t="inlineStr">
        <x:is>
          <x:t xml:space="preserve">1. 当前待交付版本检查通过，无未解释失败
2. 测试范围与未覆盖项明确，历史通过不代替本次复测</x:t>
        </x:is>
      </x:c>
      <x:c r="N64" s="41" t="inlineStr">
        <x:is>
          <x:t xml:space="preserve">本次命令及日志、版本标识；可参考 10月12日 2080 后端、170 单元、523 契约历史结果</x:t>
        </x:is>
      </x:c>
      <x:c r="O64" s="41" t="inlineStr">
        <x:is>
          <x:t xml:space="preserve">本次待核验</x:t>
        </x:is>
      </x:c>
      <x:c r="P64" s="41" t="inlineStr">
        <x:is>
          <x:t xml:space="preserve">业务规则</x:t>
        </x:is>
      </x:c>
      <x:c r="Q64" s="41" t="inlineStr">
        <x:is>
          <x:t xml:space="preserve">规则与权限口径
PROJECT_LIFECYCLE_AND_PERMISSIONS.md</x:t>
        </x:is>
      </x:c>
      <x:c r="R64" s="41" t="str">
        <x:f>IF(E64="通过",IF(LEN(TRIM(F64))&gt;0,"计入通过","待补证据"),"未通过")</x:f>
        <x:v>未通过</x:v>
      </x:c>
    </x:row>
    <x:row r="65" ht="94" customHeight="1">
      <x:c r="A65" s="41" t="inlineStr">
        <x:is>
          <x:t xml:space="preserve">H05</x:t>
        </x:is>
      </x:c>
      <x:c r="B65" s="41" t="inlineStr">
        <x:is>
          <x:t xml:space="preserve">界面与交付</x:t>
        </x:is>
      </x:c>
      <x:c r="C65" s="41" t="inlineStr">
        <x:is>
          <x:t xml:space="preserve">P1</x:t>
        </x:is>
      </x:c>
      <x:c r="D65" s="41" t="inlineStr">
        <x:is>
          <x:t xml:space="preserve">构建体积与操作性能</x:t>
        </x:is>
      </x:c>
      <x:c r="E65" s="42" t="inlineStr">
        <x:is>
          <x:t xml:space="preserve">未验收</x:t>
        </x:is>
      </x:c>
      <x:c r="F65" s="42" t="n"/>
      <x:c r="G65" s="42" t="n"/>
      <x:c r="H65" s="56" t="n"/>
      <x:c r="I65" s="42" t="n"/>
      <x:c r="J65" s="41" t="inlineStr">
        <x:is>
          <x:t xml:space="preserve">开发 / 测试</x:t>
        </x:is>
      </x:c>
      <x:c r="K65" s="41" t="inlineStr">
        <x:is>
          <x:t xml:space="preserve">采用同设备、浏览器和网络，准备 30 项重点工作、300 项任务的验收样例。</x:t>
        </x:is>
      </x:c>
      <x:c r="L65" s="41" t="inlineStr">
        <x:is>
          <x:t xml:space="preserve">1. 运行项目原有 bundle 检查
2. 记录首屏、筛选、分组与详情响应
3. 检查请求数量及重复请求</x:t>
        </x:is>
      </x:c>
      <x:c r="M65" s="41" t="inlineStr">
        <x:is>
          <x:t xml:space="preserve">1. 沿用当前体积预算：初始 JS 340000/110000，CSS 140000/24000，最大路由 140000/36000，均为原始/gzip 字节
2. 建议体验门槛：数据已加载后筛选及折叠可见反馈 ≤500ms；记录实测值，超限需问题单或验收人书面接受</x:t>
        </x:is>
      </x:c>
      <x:c r="N65" s="41" t="inlineStr">
        <x:is>
          <x:t xml:space="preserve">bundle 输出、设备网络条件、计时和请求记录</x:t>
        </x:is>
      </x:c>
      <x:c r="O65" s="41" t="inlineStr">
        <x:is>
          <x:t xml:space="preserve">本次待核验</x:t>
        </x:is>
      </x:c>
      <x:c r="P65" s="41" t="inlineStr">
        <x:is>
          <x:t xml:space="preserve">技术门槛 / 建议性能门槛</x:t>
        </x:is>
      </x:c>
      <x:c r="Q65" s="41" t="inlineStr">
        <x:is>
          <x:t xml:space="preserve">当前 bundle-baseline.json；体验计时为本文件建议
bundle-baseline.json</x:t>
        </x:is>
      </x:c>
      <x:c r="R65" s="41" t="str">
        <x:f>IF(E65="通过",IF(LEN(TRIM(F65))&gt;0,"计入通过","待补证据"),"未通过")</x:f>
        <x:v>未通过</x:v>
      </x:c>
    </x:row>
    <x:row r="66" ht="94" customHeight="1">
      <x:c r="A66" s="41" t="inlineStr">
        <x:is>
          <x:t xml:space="preserve">H06</x:t>
        </x:is>
      </x:c>
      <x:c r="B66" s="41" t="inlineStr">
        <x:is>
          <x:t xml:space="preserve">界面与交付</x:t>
        </x:is>
      </x:c>
      <x:c r="C66" s="41" t="inlineStr">
        <x:is>
          <x:t xml:space="preserve">P0</x:t>
        </x:is>
      </x:c>
      <x:c r="D66" s="41" t="inlineStr">
        <x:is>
          <x:t xml:space="preserve">部署版本、迁移与恢复</x:t>
        </x:is>
      </x:c>
      <x:c r="E66" s="42" t="inlineStr">
        <x:is>
          <x:t xml:space="preserve">未验收</x:t>
        </x:is>
      </x:c>
      <x:c r="F66" s="42" t="n"/>
      <x:c r="G66" s="42" t="n"/>
      <x:c r="H66" s="56" t="n"/>
      <x:c r="I66" s="42" t="n"/>
      <x:c r="J66" s="41" t="inlineStr">
        <x:is>
          <x:t xml:space="preserve">发布负责人</x:t>
        </x:is>
      </x:c>
      <x:c r="K66" s="41" t="inlineStr">
        <x:is>
          <x:t xml:space="preserve">准备隔离环境、备份及可追溯发布包；生产另走既定授权。</x:t>
        </x:is>
      </x:c>
      <x:c r="L66" s="41" t="inlineStr">
        <x:is>
          <x:t xml:space="preserve">1. 核对前端 V2、后端和数据库迁移版本
2. 在隔离目标数据库验证升级、必要回退及备份恢复
3. 部署后执行登录与主流程冒烟</x:t>
        </x:is>
      </x:c>
      <x:c r="M66" s="41" t="inlineStr">
        <x:is>
          <x:t xml:space="preserve">1. 源码、构建、运行版本一致，能确定验收的是哪一版
2. 数据迁移和恢复有实际证据；本地 SQLite 结果不替代目标 PostgreSQL 验证；上线结论仅适用于已验环境</x:t>
        </x:is>
      </x:c>
      <x:c r="N66" s="41" t="inlineStr">
        <x:is>
          <x:t xml:space="preserve">提交或工作区快照标识、镜像摘要、迁移版本、恢复记录及冒烟结果</x:t>
        </x:is>
      </x:c>
      <x:c r="O66" s="41" t="inlineStr">
        <x:is>
          <x:t xml:space="preserve">本次待核验</x:t>
        </x:is>
      </x:c>
      <x:c r="P66" s="41" t="inlineStr">
        <x:is>
          <x:t xml:space="preserve">业务规则</x:t>
        </x:is>
      </x:c>
      <x:c r="Q66" s="41" t="inlineStr">
        <x:is>
          <x:t xml:space="preserve">规则与权限口径
PROJECT_LIFECYCLE_AND_PERMISSIONS.md</x:t>
        </x:is>
      </x:c>
      <x:c r="R66" s="41" t="str">
        <x:f>IF(E66="通过",IF(LEN(TRIM(F66))&gt;0,"计入通过","待补证据"),"未通过")</x:f>
        <x:v>未通过</x:v>
      </x:c>
    </x:row>
  </x:sheetData>
  <x:conditionalFormatting sqref="E7:E66">
    <x:cfRule type="expression" dxfId="0" priority="1">
      <x:formula>$E7="不通过"</x:formula>
    </x:cfRule>
    <x:cfRule type="expression" dxfId="1" priority="2">
      <x:formula>$E7="阻塞"</x:formula>
    </x:cfRule>
    <x:cfRule type="expression" dxfId="2" priority="3">
      <x:formula>$E7="通过"</x:formula>
    </x:cfRule>
  </x:conditionalFormatting>
  <x:conditionalFormatting sqref="R7:R66">
    <x:cfRule type="expression" dxfId="1" priority="4">
      <x:formula>$R7="待补证据"</x:formula>
    </x:cfRule>
  </x:conditionalFormatting>
  <x:conditionalFormatting sqref="O7:O66">
    <x:cfRule type="expression" dxfId="4" priority="5">
      <x:formula>$O7="已知待修"</x:formula>
    </x:cfRule>
  </x:conditionalFormatting>
  <x:conditionalFormatting sqref="C7:C66">
    <x:cfRule type="expression" dxfId="5" priority="6">
      <x:formula>$C7="P0"</x:formula>
    </x:cfRule>
  </x:conditionalFormatting>
  <x:dataValidations count="1">
    <x:dataValidation type="list" allowBlank="0" showDropDown="0" showInputMessage="0" showErrorMessage="0" sqref="E7:E66">
      <x:formula1>"未验收,通过,不通过,阻塞"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48e8656c84491"/>
  </x:tableParts>
</x:worksheet>
</file>