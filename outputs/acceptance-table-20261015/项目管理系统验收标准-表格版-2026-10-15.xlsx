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8b582625fe49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305251ee45ee4435"/>
    <x:sheet xmlns:r="http://schemas.openxmlformats.org/officeDocument/2006/relationships" name="验收清单" sheetId="2" r:id="Ra6ea2bf4366a4b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047763f38644d8" /><Relationship Type="http://schemas.openxmlformats.org/officeDocument/2006/relationships/theme" Target="/xl/theme/theme1.xml" Id="Rdfb0667bb248406b" /><Relationship Type="http://schemas.openxmlformats.org/officeDocument/2006/relationships/sharedStrings" Target="/xl/sharedStrings.xml" Id="Ra60229d19b854cb4" /><Relationship Type="http://schemas.openxmlformats.org/officeDocument/2006/relationships/worksheet" Target="/xl/worksheets/sheet1.xml" Id="R305251ee45ee4435" /><Relationship Type="http://schemas.openxmlformats.org/officeDocument/2006/relationships/worksheet" Target="/xl/worksheets/sheet2.xml" Id="Ra6ea2bf4366a4b2a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a7a3c9192c2492e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9</x:v>
      </x:c>
      <x:c r="E18" s="52" t="n">
        <x:f>COUNTIFS('验收清单'!$B$7:$B$66,$A18,'验收清单'!$E$7:$E$66,"未验收")</x:f>
        <x:v>3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0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0.75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8</x:v>
      </x:c>
      <x:c r="E20" s="52" t="n">
        <x:f>COUNTIFS('验收清单'!$B$7:$B$66,$A20,'验收清单'!$E$7:$E$66,"未验收")</x:f>
        <x:v>0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0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1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1</x:v>
      </x:c>
      <x:c r="E24" s="52" t="n">
        <x:f>COUNTIFS('验收清单'!$B$7:$B$66,$A24,'验收清单'!$E$7:$E$66,"未验收")</x:f>
        <x:v>5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2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0.16666666666666666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27</x:v>
      </x:c>
      <x:c r="E25" s="54" t="n">
        <x:f>SUMIFS(E17:E24,$B$17:$B$24,"纳入")</x:f>
        <x:v>33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16</x:v>
      </x:c>
      <x:c r="K25" s="54" t="n">
        <x:f>SUMIFS(K17:K24,$B$17:$B$24,"纳入")</x:f>
        <x:v>0</x:v>
      </x:c>
      <x:c r="L25" s="55" t="n">
        <x:f>IF(C25=0,0,D25/C25)</x:f>
        <x:v>0.45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str">
        <x:v>通过</x:v>
      </x:c>
      <x:c r="F13" s="42" t="str">
        <x:v>V2 管理页 6005 → API 8011 → 隔离 SQLite：通过新建弹窗创建项目（ID 10），POST /api/projects 200，保存后 lifecycle_status 为 draft。刷新项目列表仍显示草稿、已填资料、下一步“下发给负责人”；刷新项目详情后名称、目标、项目周期、教练、负责人一致，详情页显示正确下发提示和下发入口。另建隔离项目验证详情页下发：POST /dispatch 200，状态变为 dispatched，刷新后保持。截图：evidence/B01/项目列表刷新.png、evidence/B01/项目详情刷新.png、evidence/B01/详情页下发与刷新.png。</x:v>
      </x:c>
      <x:c r="G13" s="42" t="str">
        <x:v>Codex</x:v>
      </x:c>
      <x:c r="H13" s="56" t="str">
        <x:v>2026-10-19</x:v>
      </x:c>
      <x:c r="I13" s="42" t="str">
        <x:v>本项通过；仅验证本地 V2 和隔离 SQLite，不代表生产 PostgreSQL 验收。</x:v>
      </x:c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计入通过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str">
        <x:v>通过</x:v>
      </x:c>
      <x:c r="F15" s="42" t="str">
        <x:v>V2 管理页 6005 → API 8011 → 隔离 SQLite：新建草稿成功（项目 ID 11），配置企业教练、负责人、统筹人、协同成员；负责人兼任协同成员。打开成员管理页后 5 条关系与所配角色一致，项目列表正确显示负责人和教练。前端成员同步单测 1/1 通过。截图：evidence/B03/项目列表.png；evidence/B03/成员角色详情.png。</x:v>
      </x:c>
      <x:c r="G15" s="42" t="str">
        <x:v>Codex</x:v>
      </x:c>
      <x:c r="H15" s="56" t="str">
        <x:v>2026-10-19</x:v>
      </x:c>
      <x:c r="I15" s="42" t="str">
        <x:v>本项通过；线上与生产 PostgreSQL 未涉及。</x:v>
      </x:c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计入通过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str">
        <x:v>通过</x:v>
      </x:c>
      <x:c r="F16" s="42" t="str">
        <x:v>V2 管理页 6005 → API 8011 → 隔离 SQLite。缺项目目标、缺开始日期、缺项目负责人、缺企业教练四种草稿，POST /dispatch 均返回 409，状态保持 draft；V2“待我处理”展开全部后，分别显示实际缺项。补齐四项且结束日期留空时，V2 下发返回 200，状态 dispatched；结束日期早于开始日期时返回 409，草稿状态不变。后端生命周期测试 43/43、前端相关单测 7/7 通过。截图：evidence/B04/目标与开始日期缺项提示.png、evidence/B04/负责人和教练缺项提示.png、evidence/B04/信息齐全草稿下发.png。</x:v>
      </x:c>
      <x:c r="G16" s="42" t="str">
        <x:v>Codex</x:v>
      </x:c>
      <x:c r="H16" s="56" t="str">
        <x:v>2026-10-19</x:v>
      </x:c>
      <x:c r="I16" s="42" t="str">
        <x:v>本项通过；仅验证本地隔离 SQLite 和 V2，不代表生产 PostgreSQL 验收。</x:v>
      </x:c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计入通过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210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str">
        <x:v>通过</x:v>
      </x:c>
      <x:c r="F18" s="42" t="str">
        <x:v>隔离 SQLite 副本 project 8（C01 Owner，项目已派发）填写不完整方案：保留重点工作目标长文本，修改关键任务名称、负责人为 C01 Helper（人员 ID 22）、日期为 2026-10-20 至 2026-10-27，并将评价指标留空。首次自动保存被临时测试环境来源校验拒绝，页面明确提示未保存并可重试，字段仍保留；将 6006 加入隔离后端允许来源后，手动重试 PUT 返回 200。再次修改长文本后自动保存 PUT 返回 200。刷新并离开项目详情后重新进入，长文本、任务名、负责人、日期均恢复，空指标仍为空；数据库项目状态保持 dispatched，未提交审核。</x:v>
      </x:c>
      <x:c r="G18" s="42" t="str">
        <x:v>Codex 本地隔离验收：V2 前端 6006、后端 8012、独立 SQLite 副本；负责人 UI 操作、后端请求日志及数据库只读核对。</x:v>
      </x:c>
      <x:c r="H18" s="56" t="str">
        <x:v>2026-10-19</x:v>
      </x:c>
      <x:c r="I18" s="42" t="str">
        <x:v>只验证本地隔离副本的草稿自动/手动保存、错误提示、刷新及离开重进；未在生产 PostgreSQL 或线上环境验证。</x:v>
      </x:c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计入通过</x:v>
      </x:c>
    </x:row>
    <x:row r="19" ht="285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str">
        <x:v>通过</x:v>
      </x:c>
      <x:c r="F19" s="42" t="str">
        <x:v>隔离 SQLite 副本 project 8（C01 Owner，已派发）在负责人页面提交方案，POST /owner-submit 返回 200，项目详情显示“待审核”；正式方案写入 2 项重点工作、3 项关键任务，提交草稿清空。待审时负责人入口不再呈现编辑表单。随后用同一 PM 身份发起重复提交，返回 409 / PROJECT_STATE_CONFLICT；尝试修改待审草稿返回 409 / PROJECT_STATE_CONFLICT；负责人尝试直接审核通过返回 403 / PROJECT_ACTION_DENIED。上述拒绝请求后，数据库状态仍为 pending_review，提交审核日志未增加，任务数仍为 2/3；提交动作仅新增一条状态日志（ID 226），未重复写入任务。</x:v>
      </x:c>
      <x:c r="G19" s="42" t="str">
        <x:v>Codex 本地隔离验收：V2 前端 6006、后端 8012、独立 SQLite 副本；负责人 UI 提交、服务端 TestClient 带有效隔离会话进行状态/权限探测、SQLite 只读对照。</x:v>
      </x:c>
      <x:c r="H19" s="56" t="str">
        <x:v>2026-10-19</x:v>
      </x:c>
      <x:c r="I19" s="42" t="str">
        <x:v>仅验证本地隔离 SQLite 的方案提交、待审只读和服务端状态/权限保护；未在生产 PostgreSQL 或线上环境验证。</x:v>
      </x:c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计入通过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270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str">
        <x:v>通过</x:v>
      </x:c>
      <x:c r="F21" s="42" t="str">
        <x:v>从待审核的隔离副本 project 8 由企业教练账号退回，POST /return 返回 200、状态变为 returned；负责人重新打开方案页可见退回意见“请补充关键任务的验收依据，并说明负责人责任边界”，原 2 项重点工作和 3 项关键任务均恢复。负责人只修改任务 51 的评价指标以回应意见，保存草稿 PUT 返回 200，再提交 POST 返回 200、状态回到 pending_review。其余任务、负责人、日期与原内容保持，数据库仍为 2 项重点工作 / 3 项任务；审计记录退回 ID 227、重提 ID 228，无需重新录入整份方案。</x:v>
      </x:c>
      <x:c r="G21" s="42" t="str">
        <x:v>Codex 本地隔离验收：V2 前端 6006、后端 8012、独立 SQLite 副本；教练 API 退回、负责人 UI 查看/修订/重提、请求日志与 SQLite 只读核对。</x:v>
      </x:c>
      <x:c r="H21" s="56" t="str">
        <x:v>2026-10-19</x:v>
      </x:c>
      <x:c r="I21" s="42" t="str">
        <x:v>仅验证本地隔离 SQLite 的退回意见展示、原方案恢复、局部修订及再次提交；未在生产 PostgreSQL 或线上环境验证。</x:v>
      </x:c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计入通过</x:v>
      </x:c>
    </x:row>
    <x:row r="22" ht="158.39999389648438" hidden="0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str">
        <x:v>通过</x:v>
      </x:c>
      <x:c r="F22" s="42" t="str">
        <x:v>隔离副本实测：本地 V2（6005/8011），在临时 SQLite 副本的退回项目 109 验证。原有重点工作 ID 13、14，问题 ID 2 关联工作 13。删除 ID 13 后提交返回 HTTP 409“待移除重点工作已有执行记录，请保留该工作”，项目仍为 returned，任务记录仍在。随后将 ID 13 改名为与 ID 14 相同的名称，并新增同名工作后正式提交返回 HTTP 200，项目进入 pending_review；正式记录保留不同 ID 13、14、15，名称相同，问题 ID 2 仍关联 ID 13。截图位于 outputs/acceptance-table-20261015/evidence/B10/。</x:v>
      </x:c>
      <x:c r="G22" s="42" t="str">
        <x:v>Codex（本地 V2 负责人 UI + 隔离 API/SQLite）</x:v>
      </x:c>
      <x:c r="H22" s="56" t="str">
        <x:v>2026-10-19</x:v>
      </x:c>
      <x:c r="I22" s="42" t="str">
        <x:v>仅本地 V2 负责人 UI、隔离 API 及临时 SQLite 副本；原库未写入。未验证生产 PostgreSQL、部署版本或线上环境。</x:v>
      </x:c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计入通过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198" hidden="0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str">
        <x:v>通过</x:v>
      </x:c>
      <x:c r="F24" s="42" t="str">
        <x:v>隔离副本实测：本地 V2（6005/8011），临时 SQLite 副本先升级至迁移 y6z7a8b9c0d1。负责人 A 在项目 107 保存私有方案，PUT 返回 200，刷新后名称和目标恢复；同一负责人进入项目 108，GET /owner-plan-draft 返回 draft=null、界面为空；另一位项目 107 负责人登录后也返回 draft=null、界面为空。项目 106 中负责人保存草稿并刷新，字段恢复；企业教练读取私人草稿返回 403，界面不显示草稿。负责人正式提交返回 200，项目进入 pending_review，私人草稿清空，重点工作及关键任务写入正式记录；教练审核页面显示正式方案及任务/负责人，批准返回 200，项目变为 active。截图位于 outputs/acceptance-table-20261015/evidence/B12/。</x:v>
      </x:c>
      <x:c r="G24" s="42" t="str">
        <x:v>Codex（本地 V2 双角色 UI + 隔离 API/SQLite）</x:v>
      </x:c>
      <x:c r="H24" s="56" t="str">
        <x:v>2026-10-19</x:v>
      </x:c>
      <x:c r="I24" s="42" t="str">
        <x:v>仅本地 V2 双角色验收及临时 SQLite 副本；原库未写入。未验证生产 PostgreSQL、部署版本或线上环境。</x:v>
      </x:c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计入通过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225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str">
        <x:v>通过</x:v>
      </x:c>
      <x:c r="F42" s="42" t="str">
        <x:v>沿用 2026-10-18 隔离环境实测记录：.txt 与超过 20 MB 的 .docx 均被拒绝并保留原输入；有效 .docx 解析 67 字。停用模型候选或停止后端时，页面提示提取失败、保留正文且不显示结构化卡片；保存草稿并刷新后正文恢复。纠正旧记录：此前“恢复后仍 502”是因为启动进程使用了与项目 .env 不匹配的加密密钥，失败发生在真实模型请求前。加载项目 .env 的密钥后，本地 V2 合成汇报实际调用 DeepSeek 两次均返回 HTTP 200，结构化结果成功；AI 预览不写入正式汇报、问题或成果。</x:v>
      </x:c>
      <x:c r="G42" s="42" t="str">
        <x:v>Codex 本地隔离验收：2026-10-18 上传与故障处理记录；2026-10-19 V2 前端 6006 / 后端 8012 / 临时 SQLite，合成文本，后端日志与只读数据库核对。</x:v>
      </x:c>
      <x:c r="H42" s="56" t="str">
        <x:v>2026-10-19</x:v>
      </x:c>
      <x:c r="I42" s="42" t="str">
        <x:v>仅证明本地隔离环境下文件拦截、失败提示/保留、草稿恢复及密钥配置正确后的真实提取成功；未在生产 PostgreSQL 或线上环境验证，也不代表模型服务持续可用。</x:v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计入通过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132" hidden="0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str">
        <x:v>通过</x:v>
      </x:c>
      <x:c r="F64" s="42" t="str">
        <x:v>验证时间 2026-10-19 15:04–15:11（Asia/Shanghai）。本地 V2 门禁：npm run test:all 退出码 0（63 个单元测试文件/193 项通过；契约 528 项/19 套件通过）；npm run build 退出码 0（TypeScript + Vite，253 模块）；相关后端 pytest 退出码 0（owner_plan_draft、project_init_work_progress_draft、task_create_idempotency、task_batch_create_idempotency、manual_related_subtask_binding 共 82 项通过）。逐命令、时间、版本及未覆盖范围见 outputs/acceptance-table-20261015/evidence/H04/H04-verification-20261019.md。</x:v>
      </x:c>
      <x:c r="G64" s="42" t="str">
        <x:v>Codex（本地 V2）</x:v>
      </x:c>
      <x:c r="H64" s="56" t="str">
        <x:v>2026-10-19</x:v>
      </x:c>
      <x:c r="I64" s="42" t="str">
        <x:v>当前本地工作区（基于 1c54ed7 加本轮差异），非生产发布验证。未跑后端全量回归；未验证生产 PostgreSQL、部署迁移、备份恢复及线上冒烟。构建仅有 exceljs 大包提示，退出码 0。</x:v>
      </x:c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计入通过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7a3c9192c2492e"/>
  </x:tableParts>
</x:worksheet>
</file>