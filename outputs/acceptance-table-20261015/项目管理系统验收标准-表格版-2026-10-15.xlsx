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f74685d7574f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1e2a4951a6874ebd"/>
    <x:sheet xmlns:r="http://schemas.openxmlformats.org/officeDocument/2006/relationships" name="验收清单" sheetId="2" r:id="R0e5ae4030d1441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6361b40b3f45f8" /><Relationship Type="http://schemas.openxmlformats.org/officeDocument/2006/relationships/theme" Target="/xl/theme/theme1.xml" Id="R7ecb2340ab3e4860" /><Relationship Type="http://schemas.openxmlformats.org/officeDocument/2006/relationships/sharedStrings" Target="/xl/sharedStrings.xml" Id="Rea4d1f479d554e0e" /><Relationship Type="http://schemas.openxmlformats.org/officeDocument/2006/relationships/worksheet" Target="/xl/worksheets/sheet1.xml" Id="R1e2a4951a6874ebd" /><Relationship Type="http://schemas.openxmlformats.org/officeDocument/2006/relationships/worksheet" Target="/xl/worksheets/sheet2.xml" Id="R0e5ae4030d1441fd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635e025cd441f5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2</x:v>
      </x:c>
      <x:c r="E17" s="50" t="n">
        <x:f>COUNTIFS('验收清单'!$B$7:$B$66,$A17,'验收清单'!$E$7:$E$66,"未验收")</x:f>
        <x:v>4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4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0.3333333333333333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9</x:v>
      </x:c>
      <x:c r="E25" s="54" t="n">
        <x:f>SUMIFS(E17:E24,$B$17:$B$24,"纳入")</x:f>
        <x:v>51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34</x:v>
      </x:c>
      <x:c r="K25" s="54" t="n">
        <x:f>SUMIFS(K17:K24,$B$17:$B$24,"纳入")</x:f>
        <x:v>0</x:v>
      </x:c>
      <x:c r="L25" s="55" t="n">
        <x:f>IF(C25=0,0,D25/C25)</x:f>
        <x:v>0.15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任务，不含项目 B。建立两个项目、不同任务及子任务记录，分别配置成员关系。单项 HTTP 范围回归 1/1 通过；权限与项目隔离相关回归共 67 项通过。限当前代码及隔离 SQLite，未用浏览器登录验证真实 UI 地址导航及生产账号。</x:v>
      </x:c>
      <x:c r="G8" s="42" t="str">
        <x:v>Codex（隔离 HTTP 回归）</x:v>
      </x:c>
      <x:c r="H8" s="56" t="n">
        <x:v>46314</x:v>
      </x:c>
      <x:c r="I8" s="42" t="str">
        <x:v>保持“未验收”，待本地 V2 浏览器使用实际角色账号检查直接导航、空态及切换项目后的展示，再由业务验收人签收；本测试证明 API 隔离，不替代浏览器和生产复核。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635e025cd441f5"/>
  </x:tableParts>
</x:worksheet>
</file>